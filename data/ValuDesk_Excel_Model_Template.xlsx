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47d599d31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a7d8a6b16684662"/>
    <x:sheet xmlns:r="http://schemas.openxmlformats.org/officeDocument/2006/relationships" name="Inputs" sheetId="2" r:id="R1d9bb19d291943ae"/>
    <x:sheet xmlns:r="http://schemas.openxmlformats.org/officeDocument/2006/relationships" name="DCF Bear" sheetId="3" r:id="R34aaf8ca594b4700"/>
    <x:sheet xmlns:r="http://schemas.openxmlformats.org/officeDocument/2006/relationships" name="DCF Base" sheetId="4" r:id="Rce170f0ceb3e4316"/>
    <x:sheet xmlns:r="http://schemas.openxmlformats.org/officeDocument/2006/relationships" name="DCF Bull" sheetId="5" r:id="R79b3f76d7278498f"/>
    <x:sheet xmlns:r="http://schemas.openxmlformats.org/officeDocument/2006/relationships" name="Scenarios" sheetId="6" r:id="R927207335c6a435c"/>
    <x:sheet xmlns:r="http://schemas.openxmlformats.org/officeDocument/2006/relationships" name="Peer Multiples" sheetId="7" r:id="Rccce374005774c94"/>
    <x:sheet xmlns:r="http://schemas.openxmlformats.org/officeDocument/2006/relationships" name="Reconciliation" sheetId="8" r:id="Rd55db8bbc3464cd5"/>
    <x:sheet xmlns:r="http://schemas.openxmlformats.org/officeDocument/2006/relationships" name="Sources" sheetId="9" r:id="R62247ff774f7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;[Red](#,##0.000);-"/>
    <x:numFmt numFmtId="201" formatCode="0.00%;[Red](0.00%);-"/>
    <x:numFmt numFmtId="202" formatCode="#,##0.00;[Red](#,##0.00);-"/>
    <x:numFmt numFmtId="203" formatCode="0.0000"/>
    <x:numFmt numFmtId="204" formatCode="0.00&quot;x&quot;;[Red](0.00&quot;x&quot;);-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1A36"/>
      <x:name val="Carlito"/>
    </x:font>
    <x:font>
      <x:sz val="11"/>
      <x:color rgb="FF0000FF"/>
      <x:name val="Carlito"/>
    </x:font>
    <x:font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A36"/>
      </x:patternFill>
    </x:fill>
    <x:fill>
      <x:patternFill patternType="solid">
        <x:fgColor rgb="FFE8F1FF"/>
      </x:patternFill>
    </x:fill>
    <x:fill>
      <x:patternFill patternType="solid">
        <x:fgColor rgb="FFFFF0A3"/>
      </x:patternFill>
    </x:fill>
    <x:fill>
      <x:patternFill patternType="solid">
        <x:fgColor rgb="FFEAF2FF"/>
      </x:patternFill>
    </x:fill>
    <x:fill>
      <x:patternFill patternType="solid">
        <x:fgColor rgb="FFDCEB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5" fillId="2" borderId="0" xfId="0" applyNumberFormat="1" applyFont="1" applyFill="1" applyBorder="1"/>
    <x:xf numFmtId="202" fontId="0" fillId="0" borderId="1" xfId="0" applyNumberFormat="1" applyFont="1" applyFill="1" applyBorder="1"/>
    <x:xf numFmtId="202" fontId="5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6" fillId="5" borderId="0" xfId="0" applyNumberFormat="1" applyFont="1" applyFill="1" applyBorder="1"/>
    <x:xf numFmtId="202" fontId="6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6" fillId="5" borderId="1" xfId="0" applyNumberFormat="1" applyFont="1" applyFill="1" applyBorder="1"/>
    <x:xf numFmtId="202" fontId="6" fillId="5" borderId="1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6" fillId="6" borderId="0" xfId="0" applyNumberFormat="1" applyFont="1" applyFill="1" applyBorder="1"/>
    <x:xf numFmtId="202" fontId="6" fillId="6" borderId="0" xfId="0" applyNumberFormat="1" applyFont="1" applyFill="1" applyBorder="1"/>
    <x:xf numFmtId="0" fontId="0" fillId="6" borderId="1" xfId="0" applyNumberFormat="1" applyFont="1" applyFill="1" applyBorder="1"/>
    <x:xf numFmtId="202" fontId="0" fillId="6" borderId="1" xfId="0" applyNumberFormat="1" applyFont="1" applyFill="1" applyBorder="1"/>
    <x:xf numFmtId="0" fontId="6" fillId="6" borderId="1" xfId="0" applyNumberFormat="1" applyFont="1" applyFill="1" applyBorder="1"/>
    <x:xf numFmtId="202" fontId="6" fillId="6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575306b6e4acf" /><Relationship Type="http://schemas.openxmlformats.org/officeDocument/2006/relationships/theme" Target="/xl/theme/theme1.xml" Id="Rd7a742f1c32d4e6f" /><Relationship Type="http://schemas.openxmlformats.org/officeDocument/2006/relationships/sharedStrings" Target="/xl/sharedStrings.xml" Id="R9ddd55baf98a4e39" /><Relationship Type="http://schemas.openxmlformats.org/officeDocument/2006/relationships/worksheet" Target="/xl/worksheets/sheet1.xml" Id="Raa7d8a6b16684662" /><Relationship Type="http://schemas.openxmlformats.org/officeDocument/2006/relationships/worksheet" Target="/xl/worksheets/sheet2.xml" Id="R1d9bb19d291943ae" /><Relationship Type="http://schemas.openxmlformats.org/officeDocument/2006/relationships/worksheet" Target="/xl/worksheets/sheet3.xml" Id="R34aaf8ca594b4700" /><Relationship Type="http://schemas.openxmlformats.org/officeDocument/2006/relationships/worksheet" Target="/xl/worksheets/sheet4.xml" Id="Rce170f0ceb3e4316" /><Relationship Type="http://schemas.openxmlformats.org/officeDocument/2006/relationships/worksheet" Target="/xl/worksheets/sheet5.xml" Id="R79b3f76d7278498f" /><Relationship Type="http://schemas.openxmlformats.org/officeDocument/2006/relationships/worksheet" Target="/xl/worksheets/sheet6.xml" Id="R927207335c6a435c" /><Relationship Type="http://schemas.openxmlformats.org/officeDocument/2006/relationships/worksheet" Target="/xl/worksheets/sheet7.xml" Id="Rccce374005774c94" /><Relationship Type="http://schemas.openxmlformats.org/officeDocument/2006/relationships/worksheet" Target="/xl/worksheets/sheet8.xml" Id="Rd55db8bbc3464cd5" /><Relationship Type="http://schemas.openxmlformats.org/officeDocument/2006/relationships/worksheet" Target="/xl/worksheets/sheet9.xml" Id="R62247ff774f741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9" hidden="0" customWidth="1"/>
    <x:col min="3" max="3" width="58" hidden="0" customWidth="1"/>
  </x:cols>
  <x:sheetData>
    <x:row r="1" ht="34" customHeight="1">
      <x:c r="A1" s="4" t="str">
        <x:v>VALUDESK | FINANCIAL MODEL EXPORT</x:v>
      </x:c>
      <x:c r="B1" s="4"/>
      <x:c r="C1" s="4"/>
      <x:c r="D1" s="4"/>
      <x:c r="E1" s="4"/>
      <x:c r="F1" s="4"/>
      <x:c r="G1" s="4"/>
      <x:c r="H1" s="4"/>
    </x:row>
    <x:row r="3" ht="23" customHeight="1">
      <x:c r="A3" s="12" t="str">
        <x:v>Purpose</x:v>
      </x:c>
      <x:c r="B3" s="12" t="str">
        <x:v>Historical FY2025 KLBF</x:v>
      </x:c>
      <x:c r="C3" s="12" t="str">
        <x:v>DCF (five years) + comparable valuation; not a certified investment target</x:v>
      </x:c>
    </x:row>
    <x:row r="4">
      <x:c r="A4" s="13" t="str">
        <x:v>Valuation basis</x:v>
      </x:c>
      <x:c r="B4" s="13" t="str">
        <x:v>Retrospective FY2025</x:v>
      </x:c>
      <x:c r="C4" s="13" t="str">
        <x:v>FY2025 information was published in 2026; 2025 close is a hindsight reference</x:v>
      </x:c>
    </x:row>
    <x:row r="5">
      <x:c r="A5" s="13" t="str">
        <x:v>Money units</x:v>
      </x:c>
      <x:c r="B5" s="13" t="str">
        <x:v>IDR billions</x:v>
      </x:c>
      <x:c r="C5" s="13" t="str">
        <x:v>Only Rp/share columns are IDR per share</x:v>
      </x:c>
    </x:row>
    <x:row r="6">
      <x:c r="A6" s="13" t="str">
        <x:v>Input color</x:v>
      </x:c>
      <x:c r="B6" s="13" t="str">
        <x:v>Blue numbers</x:v>
      </x:c>
      <x:c r="C6" s="13" t="str">
        <x:v>Editable source / assumption hardcodes</x:v>
      </x:c>
    </x:row>
    <x:row r="7">
      <x:c r="A7" s="13" t="str">
        <x:v>Calculation color</x:v>
      </x:c>
      <x:c r="B7" s="13" t="str">
        <x:v>Black formulas</x:v>
      </x:c>
      <x:c r="C7" s="13" t="str">
        <x:v>Computed inside each worksheet</x:v>
      </x:c>
    </x:row>
    <x:row r="8">
      <x:c r="A8" s="13" t="str">
        <x:v>Cross-sheet color</x:v>
      </x:c>
      <x:c r="B8" s="13" t="str">
        <x:v>Green formulas</x:v>
      </x:c>
      <x:c r="C8" s="13" t="str">
        <x:v>Financial model link to another sheet</x:v>
      </x:c>
    </x:row>
    <x:row r="9">
      <x:c r="A9" s="13" t="str">
        <x:v>Current status</x:v>
      </x:c>
      <x:c r="B9" s="13" t="str">
        <x:v>PRELIMINARY / NOT RATED</x:v>
      </x:c>
      <x:c r="C9" s="13" t="str">
        <x:v>No automatic blended price target or BUY/SELL rating</x:v>
      </x:c>
    </x:row>
    <x:row r="10">
      <x:c r="A10" s="13" t="str">
        <x:v>DCF equity rows</x:v>
      </x:c>
      <x:c r="B10" s="13" t="str">
        <x:v>ILLUSTRATIVE ONLY if submitted</x:v>
      </x:c>
      <x:c r="C10" s="13" t="str">
        <x:v>Blank until a complete analyst bridge is submitted</x:v>
      </x:c>
    </x:row>
    <x:row r="11">
      <x:c r="A11" s="13" t="str">
        <x:v>Peer EBITDA</x:v>
      </x:c>
      <x:c r="B11" s="13" t="str">
        <x:v>SCREENING PROXY</x:v>
      </x:c>
      <x:c r="C11" s="13" t="str">
        <x:v>Book values, provider EBITDA and simplified EV need reconciliation</x:v>
      </x:c>
    </x:row>
    <x:row r="12">
      <x:c r="A12" s="13"/>
      <x:c r="B12" s="13"/>
      <x:c r="C12" s="13"/>
    </x:row>
    <x:row r="13" ht="23" customHeight="1">
      <x:c r="A13" s="12" t="str">
        <x:v>Audit concern</x:v>
      </x:c>
      <x:c r="B13" s="12" t="str">
        <x:v>Status</x:v>
      </x:c>
      <x:c r="C13" s="12" t="str">
        <x:v>Interpretation</x:v>
      </x:c>
    </x:row>
    <x:row r="14">
      <x:c r="A14" s="13" t="str">
        <x:v>WACC</x:v>
      </x:c>
      <x:c r="B14" s="13" t="str">
        <x:v>Assumption</x:v>
      </x:c>
      <x:c r="C14" s="13" t="str">
        <x:v>Mathematically calculated; market inputs not contemporaneously certified</x:v>
      </x:c>
    </x:row>
    <x:row r="15">
      <x:c r="A15" s="13" t="str">
        <x:v>D&amp;A</x:v>
      </x:c>
      <x:c r="B15" s="13" t="str">
        <x:v>Provisional</x:v>
      </x:c>
      <x:c r="C15" s="13" t="str">
        <x:v>FY2025 candidate Rp814.193 bn; components not fully reconciled</x:v>
      </x:c>
    </x:row>
    <x:row r="16">
      <x:c r="A16" s="13" t="str">
        <x:v>NCWC</x:v>
      </x:c>
      <x:c r="B16" s="13" t="str">
        <x:v>Partial</x:v>
      </x:c>
      <x:c r="C16" s="13" t="str">
        <x:v>FY2025 operating WC classification remains incomplete</x:v>
      </x:c>
    </x:row>
    <x:row r="17">
      <x:c r="A17" s="13" t="str">
        <x:v>Enterprise–Equity bridge</x:v>
      </x:c>
      <x:c r="B17" s="13" t="str">
        <x:v>Conditional</x:v>
      </x:c>
      <x:c r="C17" s="13" t="str">
        <x:v>Cash needed for operations, NCI, investments and other claims require judgment</x:v>
      </x:c>
    </x:row>
    <x:row r="18">
      <x:c r="A18" s="13" t="str">
        <x:v>Relative comparables</x:v>
      </x:c>
      <x:c r="B18" s="13" t="str">
        <x:v>Preliminary</x:v>
      </x:c>
      <x:c r="C18" s="13" t="str">
        <x:v>Peer set / EBITDA candidates are unverified economic comparables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2" hidden="0" customWidth="1"/>
    <x:col min="3" max="3" width="75" hidden="0" customWidth="1"/>
    <x:col min="4" max="4" width="22" hidden="0" customWidth="1"/>
  </x:cols>
  <x:sheetData>
    <x:row r="1" ht="34" customHeight="1">
      <x:c r="A1" s="4" t="str">
        <x:v>KLBF FY2025 | INPUTS AND ASSUMPTIONS</x:v>
      </x:c>
      <x:c r="B1" s="4"/>
      <x:c r="C1" s="4"/>
      <x:c r="D1" s="4"/>
    </x:row>
    <x:row r="3" ht="23" customHeight="1">
      <x:c r="A3" s="9" t="str">
        <x:v>Metric (units)</x:v>
      </x:c>
      <x:c r="B3" s="9" t="str">
        <x:v>Value</x:v>
      </x:c>
      <x:c r="C3" s="9" t="str">
        <x:v>Source / assumption type</x:v>
      </x:c>
    </x:row>
    <x:row r="4">
      <x:c r="A4" t="str">
        <x:v>FY2025 Revenue (Rp bn)</x:v>
      </x:c>
      <x:c r="B4" s="20" t="n">
        <x:v>35324.544</x:v>
      </x:c>
      <x:c r="C4" s="26" t="str">
        <x:v>KLBF FY2025 consolidated financial statements p16; reported</x:v>
      </x:c>
    </x:row>
    <x:row r="5">
      <x:c r="A5" t="str">
        <x:v>FY2025 classified NCWC (Rp bn)</x:v>
      </x:c>
      <x:c r="B5" s="20" t="n">
        <x:v>9425.203</x:v>
      </x:c>
      <x:c r="C5" s="26" t="str">
        <x:v>Step37 classified core NCWC; partial operating classification</x:v>
      </x:c>
    </x:row>
    <x:row r="6">
      <x:c r="A6" t="str">
        <x:v>FY2025 Parent Net Income (Rp bn)</x:v>
      </x:c>
      <x:c r="B6" s="20" t="n">
        <x:v>3664.998</x:v>
      </x:c>
      <x:c r="C6" s="26" t="str">
        <x:v>KLBF FY2025 parent net income; statement p17</x:v>
      </x:c>
    </x:row>
    <x:row r="7">
      <x:c r="A7" t="str">
        <x:v>FY2025 Common Equity (Rp bn)</x:v>
      </x:c>
      <x:c r="B7" s="20" t="n">
        <x:v>23312.457</x:v>
      </x:c>
      <x:c r="C7" s="26" t="str">
        <x:v>KLBF FY2025 attributable common equity; statement p15</x:v>
      </x:c>
    </x:row>
    <x:row r="8">
      <x:c r="A8" t="str">
        <x:v>Shares outstanding (bn)</x:v>
      </x:c>
      <x:c r="B8" s="20" t="n">
        <x:v>45.28652861</x:v>
      </x:c>
      <x:c r="C8" s="26" t="str">
        <x:v>KLBF FY2025 statement p15 excluding treasury</x:v>
      </x:c>
    </x:row>
    <x:row r="9">
      <x:c r="A9" t="str">
        <x:v>Historical close (Rp/share)</x:v>
      </x:c>
      <x:c r="B9" s="20" t="n">
        <x:v>1205</x:v>
      </x:c>
      <x:c r="C9" s="26" t="str">
        <x:v>2025-12-30 market close, NOT current quote</x:v>
      </x:c>
    </x:row>
    <x:row r="10">
      <x:c r="B10" s="20"/>
      <x:c r="C10" s="26"/>
    </x:row>
    <x:row r="11">
      <x:c r="A11" t="str">
        <x:v>Revenue growth</x:v>
      </x:c>
      <x:c r="B11" s="22" t="n">
        <x:v>0.06</x:v>
      </x:c>
      <x:c r="C11" s="26" t="str">
        <x:v>Analyst assumption; 5y constant growth for base scenario</x:v>
      </x:c>
    </x:row>
    <x:row r="12">
      <x:c r="A12" t="str">
        <x:v>Operating EBIT margin</x:v>
      </x:c>
      <x:c r="B12" s="22" t="n">
        <x:v>0.129708086253003</x:v>
      </x:c>
      <x:c r="C12" s="26" t="str">
        <x:v>Reported EBIT subtotal ÷ 2025 revenue; sustainable margin is analyst assumption</x:v>
      </x:c>
    </x:row>
    <x:row r="13">
      <x:c r="A13" t="str">
        <x:v>D&amp;A / Revenue</x:v>
      </x:c>
      <x:c r="B13" s="22" t="n">
        <x:v>0.023048931643675285</x:v>
      </x:c>
      <x:c r="C13" s="26" t="str">
        <x:v>Provisional D&amp;A ÷ FY2025 revenue</x:v>
      </x:c>
    </x:row>
    <x:row r="14">
      <x:c r="A14" t="str">
        <x:v>CapEx / Revenue</x:v>
      </x:c>
      <x:c r="B14" s="22" t="n">
        <x:v>0.02354637614005718</x:v>
      </x:c>
      <x:c r="C14" s="26" t="str">
        <x:v>Analyst-model cash/lease-adjusted capex candidate / revenue</x:v>
      </x:c>
    </x:row>
    <x:row r="15">
      <x:c r="A15" t="str">
        <x:v>NCWC / Revenue</x:v>
      </x:c>
      <x:c r="B15" s="22" t="n">
        <x:v>0.26681740038880614</x:v>
      </x:c>
      <x:c r="C15" s="26" t="str">
        <x:v>Provisional NCWC intensity; historical base in B5</x:v>
      </x:c>
    </x:row>
    <x:row r="16">
      <x:c r="A16" t="str">
        <x:v>Sustainable Tax Rate</x:v>
      </x:c>
      <x:c r="B16" s="22" t="n">
        <x:v>0.22</x:v>
      </x:c>
      <x:c r="C16" s="26" t="str">
        <x:v>Forecast assumption (not historical effective rate)</x:v>
      </x:c>
    </x:row>
    <x:row r="17">
      <x:c r="A17" t="str">
        <x:v>WACC</x:v>
      </x:c>
      <x:c r="B17" s="22" t="n">
        <x:v>0.12206949999999998</x:v>
      </x:c>
      <x:c r="C17" s="26" t="str">
        <x:v>Illustrative WACC input; not independently certified market cost</x:v>
      </x:c>
    </x:row>
    <x:row r="18">
      <x:c r="A18" t="str">
        <x:v>Terminal Growth</x:v>
      </x:c>
      <x:c r="B18" s="22" t="n">
        <x:v>0.025</x:v>
      </x:c>
      <x:c r="C18" s="26" t="str">
        <x:v>Analyst long-run growth assumption</x:v>
      </x:c>
    </x:row>
    <x:row r="19">
      <x:c r="A19" t="str">
        <x:v>Terminal ROIC</x:v>
      </x:c>
      <x:c r="B19" s="22" t="n">
        <x:v>0.15</x:v>
      </x:c>
      <x:c r="C19" s="26" t="str">
        <x:v>Analyst long-run return on new capital assumption</x:v>
      </x:c>
    </x:row>
    <x:row r="20">
      <x:c r="B20" s="20"/>
      <x:c r="C20" s="26"/>
    </x:row>
    <x:row r="21">
      <x:c r="A21" t="str">
        <x:v>FY2025 Cash Book (Rp bn)</x:v>
      </x:c>
      <x:c r="B21" s="20" t="n">
        <x:v>4331.44</x:v>
      </x:c>
      <x:c r="C21" s="26" t="str">
        <x:v>KLBF FY2025 p13, note4</x:v>
      </x:c>
    </x:row>
    <x:row r="22">
      <x:c r="A22" t="str">
        <x:v>Debt incl. lease / finance payables (bn)</x:v>
      </x:c>
      <x:c r="B22" s="20" t="n">
        <x:v>298.842</x:v>
      </x:c>
      <x:c r="C22" s="26" t="str">
        <x:v>KLBF FY2025 p14, book principal</x:v>
      </x:c>
    </x:row>
    <x:row r="23">
      <x:c r="A23" t="str">
        <x:v>NCI book proxy (Rp bn)</x:v>
      </x:c>
      <x:c r="B23" s="20" t="n">
        <x:v>1416.046</x:v>
      </x:c>
      <x:c r="C23" s="26" t="str">
        <x:v>KLBF FY2025 p15, NOT market/economic NCI</x:v>
      </x:c>
    </x:row>
    <x:row r="24">
      <x:c r="A24" t="str">
        <x:v>Acquisition payable (Rp bn)</x:v>
      </x:c>
      <x:c r="B24" s="20" t="n">
        <x:v>729.383</x:v>
      </x:c>
      <x:c r="C24" s="26" t="str">
        <x:v>KLBF FY2025 p36 note1d; p109 note19</x:v>
      </x:c>
    </x:row>
    <x:row r="25">
      <x:c r="A25" t="str">
        <x:v>FY2025 EBIT (Rp bn)</x:v>
      </x:c>
      <x:c r="B25" s="20" t="n">
        <x:v>4581.879</x:v>
      </x:c>
      <x:c r="C25" s="26" t="str">
        <x:v>KLBF FY2025 p16</x:v>
      </x:c>
    </x:row>
    <x:row r="26">
      <x:c r="A26" t="str">
        <x:v>FY2025 D&amp;A candidate (Rp bn)</x:v>
      </x:c>
      <x:c r="B26" s="20" t="n">
        <x:v>814.193</x:v>
      </x:c>
      <x:c r="C26" s="26" t="str">
        <x:v>Unreconciled expense-based candidate</x:v>
      </x:c>
    </x:row>
    <x:row r="27" ht="23" customHeight="1">
      <x:c r="A27" t="str">
        <x:v>Assumed excess cash (Rp bn)</x:v>
      </x:c>
      <x:c r="B27" s="24"/>
      <x:c r="C27" s="26" t="str">
        <x:v>Editable analyst scenario: blank when not submitted</x:v>
      </x:c>
    </x:row>
    <x:row r="28" ht="23" customHeight="1">
      <x:c r="A28" t="str">
        <x:v>Economic NCI proxy (Rp bn)</x:v>
      </x:c>
      <x:c r="B28" s="24"/>
      <x:c r="C28" s="26" t="str">
        <x:v>Editable analyst scenario: blank when not submitted</x:v>
      </x:c>
    </x:row>
    <x:row r="29" ht="23" customHeight="1">
      <x:c r="A29" t="str">
        <x:v>Nonoperating assets (Rp bn)</x:v>
      </x:c>
      <x:c r="B29" s="24"/>
      <x:c r="C29" s="26" t="str">
        <x:v>Editable analyst scenario: blank when not submitted</x:v>
      </x:c>
    </x:row>
    <x:row r="30" ht="23" customHeight="1">
      <x:c r="A30" t="str">
        <x:v>Other non-equity claims (Rp bn)</x:v>
      </x:c>
      <x:c r="B30" s="24"/>
      <x:c r="C30" s="26" t="str">
        <x:v>Editable analyst scenario: blank when not submitted</x:v>
      </x:c>
    </x:row>
    <x:row r="31" ht="23" customHeight="1">
      <x:c r="A31" t="str">
        <x:v>Explicit bridge complete? 1/0</x:v>
      </x:c>
      <x:c r="B31" s="24" t="n">
        <x:v>0</x:v>
      </x:c>
      <x:c r="C31" s="26" t="str">
        <x:v>1 only if website accepted full documented scenario; 0 = not rated</x:v>
      </x:c>
    </x:row>
    <x:row r="32" ht="23" customHeight="1">
      <x:c r="A32" t="str">
        <x:v>Bridge rationale (text)</x:v>
      </x:c>
      <x:c r="B32" s="20" t="str">
        <x:v>Not supplied</x:v>
      </x:c>
      <x:c r="C32" s="26" t="str">
        <x:v>Never treat scenario as audited economic value</x:v>
      </x:c>
    </x:row>
    <x:row r="33" ht="23" customHeight="1">
      <x:c r="A33" t="str">
        <x:v>Selected peer tickers (text)</x:v>
      </x:c>
      <x:c r="B33" s="20" t="str">
        <x:v>TSPC.JK, SOHO.JK</x:v>
      </x:c>
      <x:c r="C33" s="26" t="str">
        <x:v>Active session selected peer set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4" t="str">
        <x:v>KLBF | FIVE-YEAR FCFF MODEL — BEAR</x:v>
      </x:c>
      <x:c r="B1" s="4"/>
      <x:c r="C1" s="4"/>
      <x:c r="D1" s="4"/>
      <x:c r="E1" s="4"/>
      <x:c r="F1" s="4"/>
    </x:row>
    <x:row r="3">
      <x:c r="A3" t="str">
        <x:v>Rp bn | projected / hypothetical</x:v>
      </x:c>
    </x:row>
    <x:row r="4" ht="23" customHeight="1">
      <x:c r="A4" s="9" t="str">
        <x:v>Fiscal Year</x:v>
      </x:c>
      <x:c r="B4" s="9" t="n">
        <x:v>2026</x:v>
      </x:c>
      <x:c r="C4" s="9" t="n">
        <x:v>2027</x:v>
      </x:c>
      <x:c r="D4" s="9" t="n">
        <x:v>2028</x:v>
      </x:c>
      <x:c r="E4" s="9" t="n">
        <x:v>2029</x:v>
      </x:c>
      <x:c r="F4" s="9" t="n">
        <x:v>2030</x:v>
      </x:c>
    </x:row>
    <x:row r="5">
      <x:c r="A5" t="str">
        <x:v>Revenue growth</x:v>
      </x:c>
      <x:c r="B5" s="30" t="n">
        <x:f>Inputs!$B$11-0.030000000</x:f>
        <x:v>0.03</x:v>
      </x:c>
      <x:c r="C5" s="30" t="n">
        <x:f>Inputs!$B$11-0.030000000</x:f>
        <x:v>0.03</x:v>
      </x:c>
      <x:c r="D5" s="30" t="n">
        <x:f>Inputs!$B$11-0.030000000</x:f>
        <x:v>0.03</x:v>
      </x:c>
      <x:c r="E5" s="30" t="n">
        <x:f>Inputs!$B$11-0.030000000</x:f>
        <x:v>0.03</x:v>
      </x:c>
      <x:c r="F5" s="30" t="n">
        <x:f>Inputs!$B$11-0.030000000</x:f>
        <x:v>0.03</x:v>
      </x:c>
    </x:row>
    <x:row r="6">
      <x:c r="A6" t="str">
        <x:v>Operating EBIT margin</x:v>
      </x:c>
      <x:c r="B6" s="30" t="n">
        <x:f>Inputs!$B$12-0.015000000</x:f>
        <x:v>0.11470808625300301</x:v>
      </x:c>
      <x:c r="C6" s="30" t="n">
        <x:f>Inputs!$B$12-0.015000000</x:f>
        <x:v>0.11470808625300301</x:v>
      </x:c>
      <x:c r="D6" s="30" t="n">
        <x:f>Inputs!$B$12-0.015000000</x:f>
        <x:v>0.11470808625300301</x:v>
      </x:c>
      <x:c r="E6" s="30" t="n">
        <x:f>Inputs!$B$12-0.015000000</x:f>
        <x:v>0.11470808625300301</x:v>
      </x:c>
      <x:c r="F6" s="30" t="n">
        <x:f>Inputs!$B$12-0.015000000</x:f>
        <x:v>0.11470808625300301</x:v>
      </x:c>
    </x:row>
    <x:row r="7">
      <x:c r="A7" t="str">
        <x:v>D&amp;A / revenue</x:v>
      </x:c>
      <x:c r="B7" s="30" t="n">
        <x:f>Inputs!$B$13</x:f>
        <x:v>0.023048931643675285</x:v>
      </x:c>
      <x:c r="C7" s="30" t="n">
        <x:f>Inputs!$B$13</x:f>
        <x:v>0.023048931643675285</x:v>
      </x:c>
      <x:c r="D7" s="30" t="n">
        <x:f>Inputs!$B$13</x:f>
        <x:v>0.023048931643675285</x:v>
      </x:c>
      <x:c r="E7" s="30" t="n">
        <x:f>Inputs!$B$13</x:f>
        <x:v>0.023048931643675285</x:v>
      </x:c>
      <x:c r="F7" s="30" t="n">
        <x:f>Inputs!$B$13</x:f>
        <x:v>0.023048931643675285</x:v>
      </x:c>
    </x:row>
    <x:row r="8">
      <x:c r="A8" t="str">
        <x:v>CapEx / revenue</x:v>
      </x:c>
      <x:c r="B8" s="30" t="n">
        <x:f>Inputs!$B$14+0.005000000</x:f>
        <x:v>0.02854637614005718</x:v>
      </x:c>
      <x:c r="C8" s="30" t="n">
        <x:f>Inputs!$B$14+0.005000000</x:f>
        <x:v>0.02854637614005718</x:v>
      </x:c>
      <x:c r="D8" s="30" t="n">
        <x:f>Inputs!$B$14+0.005000000</x:f>
        <x:v>0.02854637614005718</x:v>
      </x:c>
      <x:c r="E8" s="30" t="n">
        <x:f>Inputs!$B$14+0.005000000</x:f>
        <x:v>0.02854637614005718</x:v>
      </x:c>
      <x:c r="F8" s="30" t="n">
        <x:f>Inputs!$B$14+0.005000000</x:f>
        <x:v>0.02854637614005718</x:v>
      </x:c>
    </x:row>
    <x:row r="9">
      <x:c r="A9" t="str">
        <x:v>Operating NCWC / revenue</x:v>
      </x:c>
      <x:c r="B9" s="30" t="n">
        <x:f>Inputs!$B$15+0.020000000</x:f>
        <x:v>0.28681740038880615</x:v>
      </x:c>
      <x:c r="C9" s="30" t="n">
        <x:f>Inputs!$B$15+0.020000000</x:f>
        <x:v>0.28681740038880615</x:v>
      </x:c>
      <x:c r="D9" s="30" t="n">
        <x:f>Inputs!$B$15+0.020000000</x:f>
        <x:v>0.28681740038880615</x:v>
      </x:c>
      <x:c r="E9" s="30" t="n">
        <x:f>Inputs!$B$15+0.020000000</x:f>
        <x:v>0.28681740038880615</x:v>
      </x:c>
      <x:c r="F9" s="30" t="n">
        <x:f>Inputs!$B$15+0.020000000</x:f>
        <x:v>0.28681740038880615</x:v>
      </x:c>
    </x:row>
    <x:row r="10">
      <x:c r="A10" t="str">
        <x:v>WACC</x:v>
      </x:c>
      <x:c r="B10" s="30" t="n">
        <x:f>Inputs!$B$17+0.010000000</x:f>
        <x:v>0.13206949999999998</x:v>
      </x:c>
      <x:c r="C10" s="30" t="n">
        <x:f>Inputs!$B$17+0.010000000</x:f>
        <x:v>0.13206949999999998</x:v>
      </x:c>
      <x:c r="D10" s="30" t="n">
        <x:f>Inputs!$B$17+0.010000000</x:f>
        <x:v>0.13206949999999998</x:v>
      </x:c>
      <x:c r="E10" s="30" t="n">
        <x:f>Inputs!$B$17+0.010000000</x:f>
        <x:v>0.13206949999999998</x:v>
      </x:c>
      <x:c r="F10" s="30" t="n">
        <x:f>Inputs!$B$17+0.010000000</x:f>
        <x:v>0.13206949999999998</x:v>
      </x:c>
    </x:row>
    <x:row r="11">
      <x:c r="A11" t="str">
        <x:v>Terminal growth (g)</x:v>
      </x:c>
      <x:c r="B11" s="30" t="n">
        <x:f>Inputs!$B$18-0.005000000</x:f>
        <x:v>0.02</x:v>
      </x:c>
      <x:c r="C11" s="30" t="n">
        <x:f>Inputs!$B$18-0.005000000</x:f>
        <x:v>0.02</x:v>
      </x:c>
      <x:c r="D11" s="30" t="n">
        <x:f>Inputs!$B$18-0.005000000</x:f>
        <x:v>0.02</x:v>
      </x:c>
      <x:c r="E11" s="30" t="n">
        <x:f>Inputs!$B$18-0.005000000</x:f>
        <x:v>0.02</x:v>
      </x:c>
      <x:c r="F11" s="30" t="n">
        <x:f>Inputs!$B$18-0.005000000</x:f>
        <x:v>0.02</x:v>
      </x:c>
    </x:row>
    <x:row r="12">
      <x:c r="A12" t="str">
        <x:v>Terminal ROIC</x:v>
      </x:c>
      <x:c r="B12" s="30" t="n">
        <x:f>Inputs!$B$19</x:f>
        <x:v>0.15</x:v>
      </x:c>
      <x:c r="C12" s="30" t="n">
        <x:f>Inputs!$B$19</x:f>
        <x:v>0.15</x:v>
      </x:c>
      <x:c r="D12" s="30" t="n">
        <x:f>Inputs!$B$19</x:f>
        <x:v>0.15</x:v>
      </x:c>
      <x:c r="E12" s="30" t="n">
        <x:f>Inputs!$B$19</x:f>
        <x:v>0.15</x:v>
      </x:c>
      <x:c r="F12" s="30" t="n">
        <x:f>Inputs!$B$19</x:f>
        <x:v>0.15</x:v>
      </x:c>
    </x:row>
    <x:row r="13">
      <x:c r="A13" t="str">
        <x:v>Sustainable tax rate</x:v>
      </x:c>
      <x:c r="B13" s="30" t="n">
        <x:f>Inputs!$B$16</x:f>
        <x:v>0.22</x:v>
      </x:c>
      <x:c r="C13" s="30" t="n">
        <x:f>Inputs!$B$16</x:f>
        <x:v>0.22</x:v>
      </x:c>
      <x:c r="D13" s="30" t="n">
        <x:f>Inputs!$B$16</x:f>
        <x:v>0.22</x:v>
      </x:c>
      <x:c r="E13" s="30" t="n">
        <x:f>Inputs!$B$16</x:f>
        <x:v>0.22</x:v>
      </x:c>
      <x:c r="F13" s="30" t="n">
        <x:f>Inputs!$B$16</x:f>
        <x:v>0.22</x:v>
      </x:c>
    </x:row>
    <x:row r="14" ht="25" customHeight="1">
      <x:c r="A14" s="28" t="str">
        <x:v>EXPLICIT FCFF PROJECTION</x:v>
      </x:c>
      <x:c r="B14" s="28"/>
      <x:c r="C14" s="28"/>
      <x:c r="D14" s="28"/>
      <x:c r="E14" s="28"/>
      <x:c r="F14" s="28"/>
    </x:row>
    <x:row r="15">
      <x:c r="A15" t="str">
        <x:v>Revenue (Rp bn)</x:v>
      </x:c>
      <x:c r="B15" s="32" t="n">
        <x:f>Inputs!$B$4*(1+B5)</x:f>
        <x:v>36384.280320000005</x:v>
      </x:c>
      <x:c r="C15" s="32" t="n">
        <x:f>B15*(1+C5)</x:f>
        <x:v>37475.80872960001</x:v>
      </x:c>
      <x:c r="D15" s="32" t="n">
        <x:f>C15*(1+D5)</x:f>
        <x:v>38600.08299148801</x:v>
      </x:c>
      <x:c r="E15" s="32" t="n">
        <x:f>D15*(1+E5)</x:f>
        <x:v>39758.08548123265</x:v>
      </x:c>
      <x:c r="F15" s="32" t="n">
        <x:f>E15*(1+F5)</x:f>
        <x:v>40950.82804566963</x:v>
      </x:c>
    </x:row>
    <x:row r="16">
      <x:c r="A16" t="str">
        <x:v>Operating EBIT (Rp bn)</x:v>
      </x:c>
      <x:c r="B16" s="32" t="n">
        <x:f>B15*B6</x:f>
        <x:v>4173.571165200001</x:v>
      </x:c>
      <x:c r="C16" s="32" t="n">
        <x:f>C15*C6</x:f>
        <x:v>4298.778300156001</x:v>
      </x:c>
      <x:c r="D16" s="32" t="n">
        <x:f>D15*D6</x:f>
        <x:v>4427.741649160681</x:v>
      </x:c>
      <x:c r="E16" s="32" t="n">
        <x:f>E15*E6</x:f>
        <x:v>4560.573898635502</x:v>
      </x:c>
      <x:c r="F16" s="32" t="n">
        <x:f>F15*F6</x:f>
        <x:v>4697.391115594566</x:v>
      </x:c>
    </x:row>
    <x:row r="17">
      <x:c r="A17" t="str">
        <x:v>NOPAT (Rp bn)</x:v>
      </x:c>
      <x:c r="B17" s="32" t="n">
        <x:f>B16*(1-B13)</x:f>
        <x:v>3255.385508856001</x:v>
      </x:c>
      <x:c r="C17" s="32" t="n">
        <x:f>C16*(1-C13)</x:f>
        <x:v>3353.047074121681</x:v>
      </x:c>
      <x:c r="D17" s="32" t="n">
        <x:f>D16*(1-D13)</x:f>
        <x:v>3453.6384863453313</x:v>
      </x:c>
      <x:c r="E17" s="32" t="n">
        <x:f>E16*(1-E13)</x:f>
        <x:v>3557.2476409356914</x:v>
      </x:c>
      <x:c r="F17" s="32" t="n">
        <x:f>F16*(1-F13)</x:f>
        <x:v>3663.9650701637615</x:v>
      </x:c>
    </x:row>
    <x:row r="18">
      <x:c r="A18" t="str">
        <x:v>(+) D&amp;A (Rp bn)</x:v>
      </x:c>
      <x:c r="B18" s="32" t="n">
        <x:f>B15*B7</x:f>
        <x:v>838.61879</x:v>
      </x:c>
      <x:c r="C18" s="32" t="n">
        <x:f>C15*C7</x:f>
        <x:v>863.7773537000002</x:v>
      </x:c>
      <x:c r="D18" s="32" t="n">
        <x:f>D15*D7</x:f>
        <x:v>889.6906743110001</x:v>
      </x:c>
      <x:c r="E18" s="32" t="n">
        <x:f>E15*E7</x:f>
        <x:v>916.3813945403301</x:v>
      </x:c>
      <x:c r="F18" s="32" t="n">
        <x:f>F15*F7</x:f>
        <x:v>943.87283637654</x:v>
      </x:c>
    </x:row>
    <x:row r="19">
      <x:c r="A19" t="str">
        <x:v>(-) CapEx (Rp bn)</x:v>
      </x:c>
      <x:c r="B19" s="32" t="n">
        <x:f>-B15*B8</x:f>
        <x:v>-1038.6393516</x:v>
      </x:c>
      <x:c r="C19" s="32" t="n">
        <x:f>-C15*C8</x:f>
        <x:v>-1069.7985321480003</x:v>
      </x:c>
      <x:c r="D19" s="32" t="n">
        <x:f>-D15*D8</x:f>
        <x:v>-1101.8924881124403</x:v>
      </x:c>
      <x:c r="E19" s="32" t="n">
        <x:f>-E15*E8</x:f>
        <x:v>-1134.9492627558136</x:v>
      </x:c>
      <x:c r="F19" s="32" t="n">
        <x:f>-F15*F8</x:f>
        <x:v>-1168.9977406384878</x:v>
      </x:c>
    </x:row>
    <x:row r="20">
      <x:c r="A20" t="str">
        <x:v>Operating NCWC (Rp bn)</x:v>
      </x:c>
      <x:c r="B20" s="32" t="n">
        <x:f>B15*B9</x:f>
        <x:v>10435.644696400002</x:v>
      </x:c>
      <x:c r="C20" s="32" t="n">
        <x:f>C15*C9</x:f>
        <x:v>10748.714037292002</x:v>
      </x:c>
      <x:c r="D20" s="32" t="n">
        <x:f>D15*D9</x:f>
        <x:v>11071.175458410762</x:v>
      </x:c>
      <x:c r="E20" s="32" t="n">
        <x:f>E15*E9</x:f>
        <x:v>11403.310722163085</x:v>
      </x:c>
      <x:c r="F20" s="32" t="n">
        <x:f>F15*F9</x:f>
        <x:v>11745.410043827978</x:v>
      </x:c>
    </x:row>
    <x:row r="21">
      <x:c r="A21" t="str">
        <x:v>(-) Change in NCWC (Rp bn)</x:v>
      </x:c>
      <x:c r="B21" s="32" t="n">
        <x:f>Inputs!$B$5-B20</x:f>
        <x:v>-1010.4416964000029</x:v>
      </x:c>
      <x:c r="C21" s="32" t="n">
        <x:f>B20-C20</x:f>
        <x:v>-313.0693408919997</x:v>
      </x:c>
      <x:c r="D21" s="32" t="n">
        <x:f>C20-D20</x:f>
        <x:v>-322.46142111876</x:v>
      </x:c>
      <x:c r="E21" s="32" t="n">
        <x:f>D20-E20</x:f>
        <x:v>-332.1352637523232</x:v>
      </x:c>
      <x:c r="F21" s="32" t="n">
        <x:f>E20-F20</x:f>
        <x:v>-342.09932166489307</x:v>
      </x:c>
    </x:row>
    <x:row r="22" ht="25" customHeight="1">
      <x:c r="A22" s="40" t="str">
        <x:v>Free Cash Flow to Firm (Rp bn)</x:v>
      </x:c>
      <x:c r="B22" s="41" t="n">
        <x:f>SUM(B17:B19,B21)</x:f>
        <x:v>2044.923250855998</x:v>
      </x:c>
      <x:c r="C22" s="41" t="n">
        <x:f>SUM(C17:C19,C21)</x:f>
        <x:v>2833.956554781681</x:v>
      </x:c>
      <x:c r="D22" s="41" t="n">
        <x:f>SUM(D17:D19,D21)</x:f>
        <x:v>2918.9752514251313</x:v>
      </x:c>
      <x:c r="E22" s="41" t="n">
        <x:f>SUM(E17:E19,E21)</x:f>
        <x:v>3006.544508967884</x:v>
      </x:c>
      <x:c r="F22" s="41" t="n">
        <x:f>SUM(F17:F19,F21)</x:f>
        <x:v>3096.7408442369206</x:v>
      </x:c>
    </x:row>
    <x:row r="23">
      <x:c r="A23" t="str">
        <x:v>PV factor</x:v>
      </x:c>
      <x:c r="B23" s="36" t="n">
        <x:f>1/(1+B10)^1</x:f>
        <x:v>0.883337992941246</x:v>
      </x:c>
      <x:c r="C23" s="36" t="n">
        <x:f>1/(1+C10)^2</x:f>
        <x:v>0.7802860097734688</x:v>
      </x:c>
      <x:c r="D23" s="36" t="n">
        <x:f>1/(1+D10)^3</x:f>
        <x:v>0.6892562777934295</x:v>
      </x:c>
      <x:c r="E23" s="36" t="n">
        <x:f>1/(1+E10)^4</x:f>
        <x:v>0.6088462570482018</x:v>
      </x:c>
      <x:c r="F23" s="36" t="n">
        <x:f>1/(1+F10)^5</x:f>
        <x:v>0.5378170307107486</x:v>
      </x:c>
    </x:row>
    <x:row r="24" ht="25" customHeight="1">
      <x:c r="A24" s="40" t="str">
        <x:v>Present Value of FCFF (Rp bn)</x:v>
      </x:c>
      <x:c r="B24" s="41" t="n">
        <x:f>B22*B23</x:f>
        <x:v>1806.3584001300255</x:v>
      </x:c>
      <x:c r="C24" s="41" t="n">
        <x:f>C22*C23</x:f>
        <x:v>2211.296652001965</x:v>
      </x:c>
      <x:c r="D24" s="41" t="n">
        <x:f>D22*D23</x:f>
        <x:v>2011.922016768426</x:v>
      </x:c>
      <x:c r="E24" s="41" t="n">
        <x:f>E22*E23</x:f>
        <x:v>1830.5233709339202</x:v>
      </x:c>
      <x:c r="F24" s="41" t="n">
        <x:f>F22*F23</x:f>
        <x:v>1665.4799657281974</x:v>
      </x:c>
    </x:row>
    <x:row r="25">
      <x:c r="B25" s="32"/>
      <x:c r="C25" s="32"/>
      <x:c r="D25" s="32"/>
      <x:c r="E25" s="32"/>
      <x:c r="F25" s="32"/>
    </x:row>
    <x:row r="26" ht="25" customHeight="1">
      <x:c r="A26" s="28" t="str">
        <x:v>TERMINAL VALUATION</x:v>
      </x:c>
      <x:c r="B26" s="33"/>
      <x:c r="C26" s="33"/>
      <x:c r="D26" s="33"/>
      <x:c r="E26" s="33"/>
      <x:c r="F26" s="33"/>
    </x:row>
    <x:row r="27">
      <x:c r="A27" t="str">
        <x:v>Terminal NOPAT Y6 (Rp bn)</x:v>
      </x:c>
      <x:c r="B27" s="32" t="n">
        <x:f>F17*(1+F11)</x:f>
        <x:v>3737.244371567037</x:v>
      </x:c>
      <x:c r="C27" s="32"/>
      <x:c r="D27" s="32"/>
      <x:c r="E27" s="32"/>
      <x:c r="F27" s="32"/>
    </x:row>
    <x:row r="28">
      <x:c r="A28" t="str">
        <x:v>(-) Terminal reinvestment (Rp bn)</x:v>
      </x:c>
      <x:c r="B28" s="32" t="n">
        <x:f>-B27*F11/F12</x:f>
        <x:v>-498.29924954227164</x:v>
      </x:c>
      <x:c r="C28" s="32"/>
      <x:c r="D28" s="32"/>
      <x:c r="E28" s="32"/>
      <x:c r="F28" s="32"/>
    </x:row>
    <x:row r="29" ht="25" customHeight="1">
      <x:c r="A29" s="40" t="str">
        <x:v>Terminal FCFF (Rp bn)</x:v>
      </x:c>
      <x:c r="B29" s="41" t="n">
        <x:f>SUM(B27:B28)</x:f>
        <x:v>3238.945122024765</x:v>
      </x:c>
      <x:c r="C29" s="41"/>
      <x:c r="D29" s="41"/>
      <x:c r="E29" s="41"/>
      <x:c r="F29" s="41"/>
    </x:row>
    <x:row r="30">
      <x:c r="A30" t="str">
        <x:v>Terminal Value at FY5 (Rp bn)</x:v>
      </x:c>
      <x:c r="B30" s="32" t="n">
        <x:f>IF(F10&gt;F11,B29/(F10-F11),"")</x:f>
        <x:v>28901.218636870566</x:v>
      </x:c>
      <x:c r="C30" s="32"/>
      <x:c r="D30" s="32"/>
      <x:c r="E30" s="32"/>
      <x:c r="F30" s="32"/>
    </x:row>
    <x:row r="31">
      <x:c r="A31" t="str">
        <x:v>PV of Terminal Value (Rp bn)</x:v>
      </x:c>
      <x:c r="B31" s="32" t="n">
        <x:f>B30/(1+F10)^COUNT(B15:F15)</x:f>
        <x:v>15543.567591203877</x:v>
      </x:c>
      <x:c r="C31" s="32"/>
      <x:c r="D31" s="32"/>
      <x:c r="E31" s="32"/>
      <x:c r="F31" s="32"/>
    </x:row>
    <x:row r="32">
      <x:c r="A32" t="str">
        <x:v>PV of projected FCFF (Rp bn)</x:v>
      </x:c>
      <x:c r="B32" s="32" t="n">
        <x:f>SUM(B24:F24)</x:f>
        <x:v>9525.580405562534</x:v>
      </x:c>
      <x:c r="C32" s="32"/>
      <x:c r="D32" s="32"/>
      <x:c r="E32" s="32"/>
      <x:c r="F32" s="32"/>
    </x:row>
    <x:row r="33" ht="25" customHeight="1">
      <x:c r="A33" s="48" t="str">
        <x:v>OPERATING ENTERPRISE VALUE (Rp bn)</x:v>
      </x:c>
      <x:c r="B33" s="49" t="n">
        <x:f>SUM(B31:B32)</x:f>
        <x:v>25069.147996766413</x:v>
      </x:c>
      <x:c r="C33" s="49"/>
      <x:c r="D33" s="49"/>
      <x:c r="E33" s="49"/>
      <x:c r="F33" s="49"/>
    </x:row>
    <x:row r="34">
      <x:c r="A34" t="str">
        <x:v>PV Terminal / Operating EV (%)</x:v>
      </x:c>
      <x:c r="B34" s="30" t="n">
        <x:f>IFERROR(B31/B33,"")</x:f>
        <x:v>0.6200277565559384</x:v>
      </x:c>
    </x:row>
  </x:sheetData>
  <x:mergeCells>
    <x:mergeCell ref="A1:F1"/>
    <x:mergeCell ref="A14:F14"/>
    <x:mergeCell ref="A26:F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4" t="str">
        <x:v>KLBF | FIVE-YEAR FCFF MODEL — BASE</x:v>
      </x:c>
      <x:c r="B1" s="4"/>
      <x:c r="C1" s="4"/>
      <x:c r="D1" s="4"/>
      <x:c r="E1" s="4"/>
      <x:c r="F1" s="4"/>
    </x:row>
    <x:row r="3">
      <x:c r="A3" t="str">
        <x:v>Rp bn | projected / hypothetical</x:v>
      </x:c>
    </x:row>
    <x:row r="4" ht="23" customHeight="1">
      <x:c r="A4" s="9" t="str">
        <x:v>Fiscal Year</x:v>
      </x:c>
      <x:c r="B4" s="9" t="n">
        <x:v>2026</x:v>
      </x:c>
      <x:c r="C4" s="9" t="n">
        <x:v>2027</x:v>
      </x:c>
      <x:c r="D4" s="9" t="n">
        <x:v>2028</x:v>
      </x:c>
      <x:c r="E4" s="9" t="n">
        <x:v>2029</x:v>
      </x:c>
      <x:c r="F4" s="9" t="n">
        <x:v>2030</x:v>
      </x:c>
    </x:row>
    <x:row r="5">
      <x:c r="A5" t="str">
        <x:v>Revenue growth</x:v>
      </x:c>
      <x:c r="B5" s="30" t="n">
        <x:f>Inputs!$B$11</x:f>
        <x:v>0.06</x:v>
      </x:c>
      <x:c r="C5" s="30" t="n">
        <x:f>Inputs!$B$11</x:f>
        <x:v>0.06</x:v>
      </x:c>
      <x:c r="D5" s="30" t="n">
        <x:f>Inputs!$B$11</x:f>
        <x:v>0.06</x:v>
      </x:c>
      <x:c r="E5" s="30" t="n">
        <x:f>Inputs!$B$11</x:f>
        <x:v>0.06</x:v>
      </x:c>
      <x:c r="F5" s="30" t="n">
        <x:f>Inputs!$B$11</x:f>
        <x:v>0.06</x:v>
      </x:c>
    </x:row>
    <x:row r="6">
      <x:c r="A6" t="str">
        <x:v>Operating EBIT margin</x:v>
      </x:c>
      <x:c r="B6" s="30" t="n">
        <x:f>Inputs!$B$12</x:f>
        <x:v>0.129708086253003</x:v>
      </x:c>
      <x:c r="C6" s="30" t="n">
        <x:f>Inputs!$B$12</x:f>
        <x:v>0.129708086253003</x:v>
      </x:c>
      <x:c r="D6" s="30" t="n">
        <x:f>Inputs!$B$12</x:f>
        <x:v>0.129708086253003</x:v>
      </x:c>
      <x:c r="E6" s="30" t="n">
        <x:f>Inputs!$B$12</x:f>
        <x:v>0.129708086253003</x:v>
      </x:c>
      <x:c r="F6" s="30" t="n">
        <x:f>Inputs!$B$12</x:f>
        <x:v>0.129708086253003</x:v>
      </x:c>
    </x:row>
    <x:row r="7">
      <x:c r="A7" t="str">
        <x:v>D&amp;A / revenue</x:v>
      </x:c>
      <x:c r="B7" s="30" t="n">
        <x:f>Inputs!$B$13</x:f>
        <x:v>0.023048931643675285</x:v>
      </x:c>
      <x:c r="C7" s="30" t="n">
        <x:f>Inputs!$B$13</x:f>
        <x:v>0.023048931643675285</x:v>
      </x:c>
      <x:c r="D7" s="30" t="n">
        <x:f>Inputs!$B$13</x:f>
        <x:v>0.023048931643675285</x:v>
      </x:c>
      <x:c r="E7" s="30" t="n">
        <x:f>Inputs!$B$13</x:f>
        <x:v>0.023048931643675285</x:v>
      </x:c>
      <x:c r="F7" s="30" t="n">
        <x:f>Inputs!$B$13</x:f>
        <x:v>0.023048931643675285</x:v>
      </x:c>
    </x:row>
    <x:row r="8">
      <x:c r="A8" t="str">
        <x:v>CapEx / revenue</x:v>
      </x:c>
      <x:c r="B8" s="30" t="n">
        <x:f>Inputs!$B$14</x:f>
        <x:v>0.02354637614005718</x:v>
      </x:c>
      <x:c r="C8" s="30" t="n">
        <x:f>Inputs!$B$14</x:f>
        <x:v>0.02354637614005718</x:v>
      </x:c>
      <x:c r="D8" s="30" t="n">
        <x:f>Inputs!$B$14</x:f>
        <x:v>0.02354637614005718</x:v>
      </x:c>
      <x:c r="E8" s="30" t="n">
        <x:f>Inputs!$B$14</x:f>
        <x:v>0.02354637614005718</x:v>
      </x:c>
      <x:c r="F8" s="30" t="n">
        <x:f>Inputs!$B$14</x:f>
        <x:v>0.02354637614005718</x:v>
      </x:c>
    </x:row>
    <x:row r="9">
      <x:c r="A9" t="str">
        <x:v>Operating NCWC / revenue</x:v>
      </x:c>
      <x:c r="B9" s="30" t="n">
        <x:f>Inputs!$B$15</x:f>
        <x:v>0.26681740038880614</x:v>
      </x:c>
      <x:c r="C9" s="30" t="n">
        <x:f>Inputs!$B$15</x:f>
        <x:v>0.26681740038880614</x:v>
      </x:c>
      <x:c r="D9" s="30" t="n">
        <x:f>Inputs!$B$15</x:f>
        <x:v>0.26681740038880614</x:v>
      </x:c>
      <x:c r="E9" s="30" t="n">
        <x:f>Inputs!$B$15</x:f>
        <x:v>0.26681740038880614</x:v>
      </x:c>
      <x:c r="F9" s="30" t="n">
        <x:f>Inputs!$B$15</x:f>
        <x:v>0.26681740038880614</x:v>
      </x:c>
    </x:row>
    <x:row r="10">
      <x:c r="A10" t="str">
        <x:v>WACC</x:v>
      </x:c>
      <x:c r="B10" s="30" t="n">
        <x:f>Inputs!$B$17</x:f>
        <x:v>0.12206949999999998</x:v>
      </x:c>
      <x:c r="C10" s="30" t="n">
        <x:f>Inputs!$B$17</x:f>
        <x:v>0.12206949999999998</x:v>
      </x:c>
      <x:c r="D10" s="30" t="n">
        <x:f>Inputs!$B$17</x:f>
        <x:v>0.12206949999999998</x:v>
      </x:c>
      <x:c r="E10" s="30" t="n">
        <x:f>Inputs!$B$17</x:f>
        <x:v>0.12206949999999998</x:v>
      </x:c>
      <x:c r="F10" s="30" t="n">
        <x:f>Inputs!$B$17</x:f>
        <x:v>0.12206949999999998</x:v>
      </x:c>
    </x:row>
    <x:row r="11">
      <x:c r="A11" t="str">
        <x:v>Terminal growth (g)</x:v>
      </x:c>
      <x:c r="B11" s="30" t="n">
        <x:f>Inputs!$B$18</x:f>
        <x:v>0.025</x:v>
      </x:c>
      <x:c r="C11" s="30" t="n">
        <x:f>Inputs!$B$18</x:f>
        <x:v>0.025</x:v>
      </x:c>
      <x:c r="D11" s="30" t="n">
        <x:f>Inputs!$B$18</x:f>
        <x:v>0.025</x:v>
      </x:c>
      <x:c r="E11" s="30" t="n">
        <x:f>Inputs!$B$18</x:f>
        <x:v>0.025</x:v>
      </x:c>
      <x:c r="F11" s="30" t="n">
        <x:f>Inputs!$B$18</x:f>
        <x:v>0.025</x:v>
      </x:c>
    </x:row>
    <x:row r="12">
      <x:c r="A12" t="str">
        <x:v>Terminal ROIC</x:v>
      </x:c>
      <x:c r="B12" s="30" t="n">
        <x:f>Inputs!$B$19</x:f>
        <x:v>0.15</x:v>
      </x:c>
      <x:c r="C12" s="30" t="n">
        <x:f>Inputs!$B$19</x:f>
        <x:v>0.15</x:v>
      </x:c>
      <x:c r="D12" s="30" t="n">
        <x:f>Inputs!$B$19</x:f>
        <x:v>0.15</x:v>
      </x:c>
      <x:c r="E12" s="30" t="n">
        <x:f>Inputs!$B$19</x:f>
        <x:v>0.15</x:v>
      </x:c>
      <x:c r="F12" s="30" t="n">
        <x:f>Inputs!$B$19</x:f>
        <x:v>0.15</x:v>
      </x:c>
    </x:row>
    <x:row r="13">
      <x:c r="A13" t="str">
        <x:v>Sustainable tax rate</x:v>
      </x:c>
      <x:c r="B13" s="30" t="n">
        <x:f>Inputs!$B$16</x:f>
        <x:v>0.22</x:v>
      </x:c>
      <x:c r="C13" s="30" t="n">
        <x:f>Inputs!$B$16</x:f>
        <x:v>0.22</x:v>
      </x:c>
      <x:c r="D13" s="30" t="n">
        <x:f>Inputs!$B$16</x:f>
        <x:v>0.22</x:v>
      </x:c>
      <x:c r="E13" s="30" t="n">
        <x:f>Inputs!$B$16</x:f>
        <x:v>0.22</x:v>
      </x:c>
      <x:c r="F13" s="30" t="n">
        <x:f>Inputs!$B$16</x:f>
        <x:v>0.22</x:v>
      </x:c>
    </x:row>
    <x:row r="14" ht="25" customHeight="1">
      <x:c r="A14" s="28" t="str">
        <x:v>EXPLICIT FCFF PROJECTION</x:v>
      </x:c>
      <x:c r="B14" s="28"/>
      <x:c r="C14" s="28"/>
      <x:c r="D14" s="28"/>
      <x:c r="E14" s="28"/>
      <x:c r="F14" s="28"/>
    </x:row>
    <x:row r="15">
      <x:c r="A15" t="str">
        <x:v>Revenue (Rp bn)</x:v>
      </x:c>
      <x:c r="B15" s="32" t="n">
        <x:f>Inputs!$B$4*(1+B5)</x:f>
        <x:v>37444.01664</x:v>
      </x:c>
      <x:c r="C15" s="32" t="n">
        <x:f>B15*(1+C5)</x:f>
        <x:v>39690.65763840001</x:v>
      </x:c>
      <x:c r="D15" s="32" t="n">
        <x:f>C15*(1+D5)</x:f>
        <x:v>42072.09709670401</x:v>
      </x:c>
      <x:c r="E15" s="32" t="n">
        <x:f>D15*(1+E5)</x:f>
        <x:v>44596.42292250625</x:v>
      </x:c>
      <x:c r="F15" s="32" t="n">
        <x:f>E15*(1+F5)</x:f>
        <x:v>47272.20829785663</x:v>
      </x:c>
    </x:row>
    <x:row r="16">
      <x:c r="A16" t="str">
        <x:v>Operating EBIT (Rp bn)</x:v>
      </x:c>
      <x:c r="B16" s="32" t="n">
        <x:f>B15*B6</x:f>
        <x:v>4856.79174</x:v>
      </x:c>
      <x:c r="C16" s="32" t="n">
        <x:f>C15*C6</x:f>
        <x:v>5148.199244400001</x:v>
      </x:c>
      <x:c r="D16" s="32" t="n">
        <x:f>D15*D6</x:f>
        <x:v>5457.091199064002</x:v>
      </x:c>
      <x:c r="E16" s="32" t="n">
        <x:f>E15*E6</x:f>
        <x:v>5784.516671007841</x:v>
      </x:c>
      <x:c r="F16" s="32" t="n">
        <x:f>F15*F6</x:f>
        <x:v>6131.587671268313</x:v>
      </x:c>
    </x:row>
    <x:row r="17">
      <x:c r="A17" t="str">
        <x:v>NOPAT (Rp bn)</x:v>
      </x:c>
      <x:c r="B17" s="32" t="n">
        <x:f>B16*(1-B13)</x:f>
        <x:v>3788.2975572</x:v>
      </x:c>
      <x:c r="C17" s="32" t="n">
        <x:f>C16*(1-C13)</x:f>
        <x:v>4015.5954106320005</x:v>
      </x:c>
      <x:c r="D17" s="32" t="n">
        <x:f>D16*(1-D13)</x:f>
        <x:v>4256.531135269921</x:v>
      </x:c>
      <x:c r="E17" s="32" t="n">
        <x:f>E16*(1-E13)</x:f>
        <x:v>4511.923003386116</x:v>
      </x:c>
      <x:c r="F17" s="32" t="n">
        <x:f>F16*(1-F13)</x:f>
        <x:v>4782.638383589284</x:v>
      </x:c>
    </x:row>
    <x:row r="18">
      <x:c r="A18" t="str">
        <x:v>(+) D&amp;A (Rp bn)</x:v>
      </x:c>
      <x:c r="B18" s="32" t="n">
        <x:f>B15*B7</x:f>
        <x:v>863.04458</x:v>
      </x:c>
      <x:c r="C18" s="32" t="n">
        <x:f>C15*C7</x:f>
        <x:v>914.8272548000001</x:v>
      </x:c>
      <x:c r="D18" s="32" t="n">
        <x:f>D15*D7</x:f>
        <x:v>969.7168900880002</x:v>
      </x:c>
      <x:c r="E18" s="32" t="n">
        <x:f>E15*E7</x:f>
        <x:v>1027.8999034932801</x:v>
      </x:c>
      <x:c r="F18" s="32" t="n">
        <x:f>F15*F7</x:f>
        <x:v>1089.573897702877</x:v>
      </x:c>
    </x:row>
    <x:row r="19">
      <x:c r="A19" t="str">
        <x:v>(-) CapEx (Rp bn)</x:v>
      </x:c>
      <x:c r="B19" s="32" t="n">
        <x:f>-B15*B8</x:f>
        <x:v>-881.6709</x:v>
      </x:c>
      <x:c r="C19" s="32" t="n">
        <x:f>-C15*C8</x:f>
        <x:v>-934.5711540000001</x:v>
      </x:c>
      <x:c r="D19" s="32" t="n">
        <x:f>-D15*D8</x:f>
        <x:v>-990.6454232400002</x:v>
      </x:c>
      <x:c r="E19" s="32" t="n">
        <x:f>-E15*E8</x:f>
        <x:v>-1050.0841486344002</x:v>
      </x:c>
      <x:c r="F19" s="32" t="n">
        <x:f>-F15*F8</x:f>
        <x:v>-1113.0891975524644</x:v>
      </x:c>
    </x:row>
    <x:row r="20">
      <x:c r="A20" t="str">
        <x:v>Operating NCWC (Rp bn)</x:v>
      </x:c>
      <x:c r="B20" s="32" t="n">
        <x:f>B15*B9</x:f>
        <x:v>9990.71518</x:v>
      </x:c>
      <x:c r="C20" s="32" t="n">
        <x:f>C15*C9</x:f>
        <x:v>10590.158090800001</x:v>
      </x:c>
      <x:c r="D20" s="32" t="n">
        <x:f>D15*D9</x:f>
        <x:v>11225.567576248002</x:v>
      </x:c>
      <x:c r="E20" s="32" t="n">
        <x:f>E15*E9</x:f>
        <x:v>11899.101630822883</x:v>
      </x:c>
      <x:c r="F20" s="32" t="n">
        <x:f>F15*F9</x:f>
        <x:v>12613.047728672256</x:v>
      </x:c>
    </x:row>
    <x:row r="21">
      <x:c r="A21" t="str">
        <x:v>(-) Change in NCWC (Rp bn)</x:v>
      </x:c>
      <x:c r="B21" s="32" t="n">
        <x:f>Inputs!$B$5-B20</x:f>
        <x:v>-565.5121799999997</x:v>
      </x:c>
      <x:c r="C21" s="32" t="n">
        <x:f>B20-C20</x:f>
        <x:v>-599.4429108000022</x:v>
      </x:c>
      <x:c r="D21" s="32" t="n">
        <x:f>C20-D20</x:f>
        <x:v>-635.4094854480009</x:v>
      </x:c>
      <x:c r="E21" s="32" t="n">
        <x:f>D20-E20</x:f>
        <x:v>-673.5340545748804</x:v>
      </x:c>
      <x:c r="F21" s="32" t="n">
        <x:f>E20-F20</x:f>
        <x:v>-713.9460978493735</x:v>
      </x:c>
    </x:row>
    <x:row r="22" ht="25" customHeight="1">
      <x:c r="A22" s="40" t="str">
        <x:v>Free Cash Flow to Firm (Rp bn)</x:v>
      </x:c>
      <x:c r="B22" s="41" t="n">
        <x:f>SUM(B17:B19,B21)</x:f>
        <x:v>3204.1590572000005</x:v>
      </x:c>
      <x:c r="C22" s="41" t="n">
        <x:f>SUM(C17:C19,C21)</x:f>
        <x:v>3396.4086006319985</x:v>
      </x:c>
      <x:c r="D22" s="41" t="n">
        <x:f>SUM(D17:D19,D21)</x:f>
        <x:v>3600.1931166699205</x:v>
      </x:c>
      <x:c r="E22" s="41" t="n">
        <x:f>SUM(E17:E19,E21)</x:f>
        <x:v>3816.204703670115</x:v>
      </x:c>
      <x:c r="F22" s="41" t="n">
        <x:f>SUM(F17:F19,F21)</x:f>
        <x:v>4045.1769858903226</x:v>
      </x:c>
    </x:row>
    <x:row r="23">
      <x:c r="A23" t="str">
        <x:v>PV factor</x:v>
      </x:c>
      <x:c r="B23" s="36" t="n">
        <x:f>1/(1+B10)^1</x:f>
        <x:v>0.8912103929391183</x:v>
      </x:c>
      <x:c r="C23" s="36" t="n">
        <x:f>1/(1+C10)^2</x:f>
        <x:v>0.7942559644826975</x:v>
      </x:c>
      <x:c r="D23" s="36" t="n">
        <x:f>1/(1+D10)^3</x:f>
        <x:v>0.7078491702008632</x:v>
      </x:c>
      <x:c r="E23" s="36" t="n">
        <x:f>1/(1+E10)^4</x:f>
        <x:v>0.6308425371163401</x:v>
      </x:c>
      <x:c r="F23" s="36" t="n">
        <x:f>1/(1+F10)^5</x:f>
        <x:v>0.5622134253861638</x:v>
      </x:c>
    </x:row>
    <x:row r="24" ht="25" customHeight="1">
      <x:c r="A24" s="40" t="str">
        <x:v>Present Value of FCFF (Rp bn)</x:v>
      </x:c>
      <x:c r="B24" s="41" t="n">
        <x:f>B22*B23</x:f>
        <x:v>2855.579852406647</x:v>
      </x:c>
      <x:c r="C24" s="41" t="n">
        <x:f>C22*C23</x:f>
        <x:v>2697.617788872297</x:v>
      </x:c>
      <x:c r="D24" s="41" t="n">
        <x:f>D22*D23</x:f>
        <x:v>2548.393710197663</x:v>
      </x:c>
      <x:c r="E24" s="41" t="n">
        <x:f>E22*E23</x:f>
        <x:v>2407.4242574185664</x:v>
      </x:c>
      <x:c r="F24" s="41" t="n">
        <x:f>F22*F23</x:f>
        <x:v>2274.252809530676</x:v>
      </x:c>
    </x:row>
    <x:row r="25">
      <x:c r="B25" s="32"/>
      <x:c r="C25" s="32"/>
      <x:c r="D25" s="32"/>
      <x:c r="E25" s="32"/>
      <x:c r="F25" s="32"/>
    </x:row>
    <x:row r="26" ht="25" customHeight="1">
      <x:c r="A26" s="28" t="str">
        <x:v>TERMINAL VALUATION</x:v>
      </x:c>
      <x:c r="B26" s="33"/>
      <x:c r="C26" s="33"/>
      <x:c r="D26" s="33"/>
      <x:c r="E26" s="33"/>
      <x:c r="F26" s="33"/>
    </x:row>
    <x:row r="27">
      <x:c r="A27" t="str">
        <x:v>Terminal NOPAT Y6 (Rp bn)</x:v>
      </x:c>
      <x:c r="B27" s="32" t="n">
        <x:f>F17*(1+F11)</x:f>
        <x:v>4902.204343179015</x:v>
      </x:c>
      <x:c r="C27" s="32"/>
      <x:c r="D27" s="32"/>
      <x:c r="E27" s="32"/>
      <x:c r="F27" s="32"/>
    </x:row>
    <x:row r="28">
      <x:c r="A28" t="str">
        <x:v>(-) Terminal reinvestment (Rp bn)</x:v>
      </x:c>
      <x:c r="B28" s="32" t="n">
        <x:f>-B27*F11/F12</x:f>
        <x:v>-817.0340571965027</x:v>
      </x:c>
      <x:c r="C28" s="32"/>
      <x:c r="D28" s="32"/>
      <x:c r="E28" s="32"/>
      <x:c r="F28" s="32"/>
    </x:row>
    <x:row r="29" ht="25" customHeight="1">
      <x:c r="A29" s="40" t="str">
        <x:v>Terminal FCFF (Rp bn)</x:v>
      </x:c>
      <x:c r="B29" s="41" t="n">
        <x:f>SUM(B27:B28)</x:f>
        <x:v>4085.1702859825127</x:v>
      </x:c>
      <x:c r="C29" s="41"/>
      <x:c r="D29" s="41"/>
      <x:c r="E29" s="41"/>
      <x:c r="F29" s="41"/>
    </x:row>
    <x:row r="30">
      <x:c r="A30" t="str">
        <x:v>Terminal Value at FY5 (Rp bn)</x:v>
      </x:c>
      <x:c r="B30" s="32" t="n">
        <x:f>IF(F10&gt;F11,B29/(F10-F11),"")</x:f>
        <x:v>42085.00389908791</x:v>
      </x:c>
      <x:c r="C30" s="32"/>
      <x:c r="D30" s="32"/>
      <x:c r="E30" s="32"/>
      <x:c r="F30" s="32"/>
    </x:row>
    <x:row r="31">
      <x:c r="A31" t="str">
        <x:v>PV of Terminal Value (Rp bn)</x:v>
      </x:c>
      <x:c r="B31" s="32" t="n">
        <x:f>B30/(1+F10)^COUNT(B15:F15)</x:f>
        <x:v>23660.754199496274</x:v>
      </x:c>
      <x:c r="C31" s="32"/>
      <x:c r="D31" s="32"/>
      <x:c r="E31" s="32"/>
      <x:c r="F31" s="32"/>
    </x:row>
    <x:row r="32">
      <x:c r="A32" t="str">
        <x:v>PV of projected FCFF (Rp bn)</x:v>
      </x:c>
      <x:c r="B32" s="32" t="n">
        <x:f>SUM(B24:F24)</x:f>
        <x:v>12783.26841842585</x:v>
      </x:c>
      <x:c r="C32" s="32"/>
      <x:c r="D32" s="32"/>
      <x:c r="E32" s="32"/>
      <x:c r="F32" s="32"/>
    </x:row>
    <x:row r="33" ht="25" customHeight="1">
      <x:c r="A33" s="48" t="str">
        <x:v>OPERATING ENTERPRISE VALUE (Rp bn)</x:v>
      </x:c>
      <x:c r="B33" s="49" t="n">
        <x:f>SUM(B31:B32)</x:f>
        <x:v>36444.02261792212</x:v>
      </x:c>
      <x:c r="C33" s="49"/>
      <x:c r="D33" s="49"/>
      <x:c r="E33" s="49"/>
      <x:c r="F33" s="49"/>
    </x:row>
    <x:row r="34">
      <x:c r="A34" t="str">
        <x:v>PV Terminal / Operating EV (%)</x:v>
      </x:c>
      <x:c r="B34" s="30" t="n">
        <x:f>IFERROR(B31/B33,"")</x:f>
        <x:v>0.6492355261534877</x:v>
      </x:c>
    </x:row>
  </x:sheetData>
  <x:mergeCells>
    <x:mergeCell ref="A1:F1"/>
    <x:mergeCell ref="A14:F14"/>
    <x:mergeCell ref="A26:F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4" t="str">
        <x:v>KLBF | FIVE-YEAR FCFF MODEL — BULL</x:v>
      </x:c>
      <x:c r="B1" s="4"/>
      <x:c r="C1" s="4"/>
      <x:c r="D1" s="4"/>
      <x:c r="E1" s="4"/>
      <x:c r="F1" s="4"/>
    </x:row>
    <x:row r="3">
      <x:c r="A3" t="str">
        <x:v>Rp bn | projected / hypothetical</x:v>
      </x:c>
    </x:row>
    <x:row r="4" ht="23" customHeight="1">
      <x:c r="A4" s="9" t="str">
        <x:v>Fiscal Year</x:v>
      </x:c>
      <x:c r="B4" s="9" t="n">
        <x:v>2026</x:v>
      </x:c>
      <x:c r="C4" s="9" t="n">
        <x:v>2027</x:v>
      </x:c>
      <x:c r="D4" s="9" t="n">
        <x:v>2028</x:v>
      </x:c>
      <x:c r="E4" s="9" t="n">
        <x:v>2029</x:v>
      </x:c>
      <x:c r="F4" s="9" t="n">
        <x:v>2030</x:v>
      </x:c>
    </x:row>
    <x:row r="5">
      <x:c r="A5" t="str">
        <x:v>Revenue growth</x:v>
      </x:c>
      <x:c r="B5" s="30" t="n">
        <x:f>Inputs!$B$11+0.030000000</x:f>
        <x:v>0.09</x:v>
      </x:c>
      <x:c r="C5" s="30" t="n">
        <x:f>Inputs!$B$11+0.030000000</x:f>
        <x:v>0.09</x:v>
      </x:c>
      <x:c r="D5" s="30" t="n">
        <x:f>Inputs!$B$11+0.030000000</x:f>
        <x:v>0.09</x:v>
      </x:c>
      <x:c r="E5" s="30" t="n">
        <x:f>Inputs!$B$11+0.030000000</x:f>
        <x:v>0.09</x:v>
      </x:c>
      <x:c r="F5" s="30" t="n">
        <x:f>Inputs!$B$11+0.030000000</x:f>
        <x:v>0.09</x:v>
      </x:c>
    </x:row>
    <x:row r="6">
      <x:c r="A6" t="str">
        <x:v>Operating EBIT margin</x:v>
      </x:c>
      <x:c r="B6" s="30" t="n">
        <x:f>Inputs!$B$12+0.015000000</x:f>
        <x:v>0.14470808625300302</x:v>
      </x:c>
      <x:c r="C6" s="30" t="n">
        <x:f>Inputs!$B$12+0.015000000</x:f>
        <x:v>0.14470808625300302</x:v>
      </x:c>
      <x:c r="D6" s="30" t="n">
        <x:f>Inputs!$B$12+0.015000000</x:f>
        <x:v>0.14470808625300302</x:v>
      </x:c>
      <x:c r="E6" s="30" t="n">
        <x:f>Inputs!$B$12+0.015000000</x:f>
        <x:v>0.14470808625300302</x:v>
      </x:c>
      <x:c r="F6" s="30" t="n">
        <x:f>Inputs!$B$12+0.015000000</x:f>
        <x:v>0.14470808625300302</x:v>
      </x:c>
    </x:row>
    <x:row r="7">
      <x:c r="A7" t="str">
        <x:v>D&amp;A / revenue</x:v>
      </x:c>
      <x:c r="B7" s="30" t="n">
        <x:f>Inputs!$B$13</x:f>
        <x:v>0.023048931643675285</x:v>
      </x:c>
      <x:c r="C7" s="30" t="n">
        <x:f>Inputs!$B$13</x:f>
        <x:v>0.023048931643675285</x:v>
      </x:c>
      <x:c r="D7" s="30" t="n">
        <x:f>Inputs!$B$13</x:f>
        <x:v>0.023048931643675285</x:v>
      </x:c>
      <x:c r="E7" s="30" t="n">
        <x:f>Inputs!$B$13</x:f>
        <x:v>0.023048931643675285</x:v>
      </x:c>
      <x:c r="F7" s="30" t="n">
        <x:f>Inputs!$B$13</x:f>
        <x:v>0.023048931643675285</x:v>
      </x:c>
    </x:row>
    <x:row r="8">
      <x:c r="A8" t="str">
        <x:v>CapEx / revenue</x:v>
      </x:c>
      <x:c r="B8" s="30" t="n">
        <x:f>MAX(0,Inputs!$B$14-0.003000000)</x:f>
        <x:v>0.02054637614005718</x:v>
      </x:c>
      <x:c r="C8" s="30" t="n">
        <x:f>MAX(0,Inputs!$B$14-0.003000000)</x:f>
        <x:v>0.02054637614005718</x:v>
      </x:c>
      <x:c r="D8" s="30" t="n">
        <x:f>MAX(0,Inputs!$B$14-0.003000000)</x:f>
        <x:v>0.02054637614005718</x:v>
      </x:c>
      <x:c r="E8" s="30" t="n">
        <x:f>MAX(0,Inputs!$B$14-0.003000000)</x:f>
        <x:v>0.02054637614005718</x:v>
      </x:c>
      <x:c r="F8" s="30" t="n">
        <x:f>MAX(0,Inputs!$B$14-0.003000000)</x:f>
        <x:v>0.02054637614005718</x:v>
      </x:c>
    </x:row>
    <x:row r="9">
      <x:c r="A9" t="str">
        <x:v>Operating NCWC / revenue</x:v>
      </x:c>
      <x:c r="B9" s="30" t="n">
        <x:f>Inputs!$B$15-0.020000000</x:f>
        <x:v>0.24681740038880615</x:v>
      </x:c>
      <x:c r="C9" s="30" t="n">
        <x:f>Inputs!$B$15-0.020000000</x:f>
        <x:v>0.24681740038880615</x:v>
      </x:c>
      <x:c r="D9" s="30" t="n">
        <x:f>Inputs!$B$15-0.020000000</x:f>
        <x:v>0.24681740038880615</x:v>
      </x:c>
      <x:c r="E9" s="30" t="n">
        <x:f>Inputs!$B$15-0.020000000</x:f>
        <x:v>0.24681740038880615</x:v>
      </x:c>
      <x:c r="F9" s="30" t="n">
        <x:f>Inputs!$B$15-0.020000000</x:f>
        <x:v>0.24681740038880615</x:v>
      </x:c>
    </x:row>
    <x:row r="10">
      <x:c r="A10" t="str">
        <x:v>WACC</x:v>
      </x:c>
      <x:c r="B10" s="30" t="n">
        <x:f>Inputs!$B$17-0.010000000</x:f>
        <x:v>0.11206949999999999</x:v>
      </x:c>
      <x:c r="C10" s="30" t="n">
        <x:f>Inputs!$B$17-0.010000000</x:f>
        <x:v>0.11206949999999999</x:v>
      </x:c>
      <x:c r="D10" s="30" t="n">
        <x:f>Inputs!$B$17-0.010000000</x:f>
        <x:v>0.11206949999999999</x:v>
      </x:c>
      <x:c r="E10" s="30" t="n">
        <x:f>Inputs!$B$17-0.010000000</x:f>
        <x:v>0.11206949999999999</x:v>
      </x:c>
      <x:c r="F10" s="30" t="n">
        <x:f>Inputs!$B$17-0.010000000</x:f>
        <x:v>0.11206949999999999</x:v>
      </x:c>
    </x:row>
    <x:row r="11">
      <x:c r="A11" t="str">
        <x:v>Terminal growth (g)</x:v>
      </x:c>
      <x:c r="B11" s="30" t="n">
        <x:f>Inputs!$B$18+0.005000000</x:f>
        <x:v>0.030000000000000002</x:v>
      </x:c>
      <x:c r="C11" s="30" t="n">
        <x:f>Inputs!$B$18+0.005000000</x:f>
        <x:v>0.030000000000000002</x:v>
      </x:c>
      <x:c r="D11" s="30" t="n">
        <x:f>Inputs!$B$18+0.005000000</x:f>
        <x:v>0.030000000000000002</x:v>
      </x:c>
      <x:c r="E11" s="30" t="n">
        <x:f>Inputs!$B$18+0.005000000</x:f>
        <x:v>0.030000000000000002</x:v>
      </x:c>
      <x:c r="F11" s="30" t="n">
        <x:f>Inputs!$B$18+0.005000000</x:f>
        <x:v>0.030000000000000002</x:v>
      </x:c>
    </x:row>
    <x:row r="12">
      <x:c r="A12" t="str">
        <x:v>Terminal ROIC</x:v>
      </x:c>
      <x:c r="B12" s="30" t="n">
        <x:f>Inputs!$B$19</x:f>
        <x:v>0.15</x:v>
      </x:c>
      <x:c r="C12" s="30" t="n">
        <x:f>Inputs!$B$19</x:f>
        <x:v>0.15</x:v>
      </x:c>
      <x:c r="D12" s="30" t="n">
        <x:f>Inputs!$B$19</x:f>
        <x:v>0.15</x:v>
      </x:c>
      <x:c r="E12" s="30" t="n">
        <x:f>Inputs!$B$19</x:f>
        <x:v>0.15</x:v>
      </x:c>
      <x:c r="F12" s="30" t="n">
        <x:f>Inputs!$B$19</x:f>
        <x:v>0.15</x:v>
      </x:c>
    </x:row>
    <x:row r="13">
      <x:c r="A13" t="str">
        <x:v>Sustainable tax rate</x:v>
      </x:c>
      <x:c r="B13" s="30" t="n">
        <x:f>Inputs!$B$16</x:f>
        <x:v>0.22</x:v>
      </x:c>
      <x:c r="C13" s="30" t="n">
        <x:f>Inputs!$B$16</x:f>
        <x:v>0.22</x:v>
      </x:c>
      <x:c r="D13" s="30" t="n">
        <x:f>Inputs!$B$16</x:f>
        <x:v>0.22</x:v>
      </x:c>
      <x:c r="E13" s="30" t="n">
        <x:f>Inputs!$B$16</x:f>
        <x:v>0.22</x:v>
      </x:c>
      <x:c r="F13" s="30" t="n">
        <x:f>Inputs!$B$16</x:f>
        <x:v>0.22</x:v>
      </x:c>
    </x:row>
    <x:row r="14" ht="25" customHeight="1">
      <x:c r="A14" s="28" t="str">
        <x:v>EXPLICIT FCFF PROJECTION</x:v>
      </x:c>
      <x:c r="B14" s="28"/>
      <x:c r="C14" s="28"/>
      <x:c r="D14" s="28"/>
      <x:c r="E14" s="28"/>
      <x:c r="F14" s="28"/>
    </x:row>
    <x:row r="15">
      <x:c r="A15" t="str">
        <x:v>Revenue (Rp bn)</x:v>
      </x:c>
      <x:c r="B15" s="32" t="n">
        <x:f>Inputs!$B$4*(1+B5)</x:f>
        <x:v>38503.752960000005</x:v>
      </x:c>
      <x:c r="C15" s="32" t="n">
        <x:f>B15*(1+C5)</x:f>
        <x:v>41969.090726400005</x:v>
      </x:c>
      <x:c r="D15" s="32" t="n">
        <x:f>C15*(1+D5)</x:f>
        <x:v>45746.30889177601</x:v>
      </x:c>
      <x:c r="E15" s="32" t="n">
        <x:f>D15*(1+E5)</x:f>
        <x:v>49863.47669203585</x:v>
      </x:c>
      <x:c r="F15" s="32" t="n">
        <x:f>E15*(1+F5)</x:f>
        <x:v>54351.18959431908</x:v>
      </x:c>
    </x:row>
    <x:row r="16">
      <x:c r="A16" t="str">
        <x:v>Operating EBIT (Rp bn)</x:v>
      </x:c>
      <x:c r="B16" s="32" t="n">
        <x:f>B15*B6</x:f>
        <x:v>5571.804404400001</x:v>
      </x:c>
      <x:c r="C16" s="32" t="n">
        <x:f>C15*C6</x:f>
        <x:v>6073.266800796001</x:v>
      </x:c>
      <x:c r="D16" s="32" t="n">
        <x:f>D15*D6</x:f>
        <x:v>6619.860812867642</x:v>
      </x:c>
      <x:c r="E16" s="32" t="n">
        <x:f>E15*E6</x:f>
        <x:v>7215.64828602573</x:v>
      </x:c>
      <x:c r="F16" s="32" t="n">
        <x:f>F15*F6</x:f>
        <x:v>7865.056631768046</x:v>
      </x:c>
    </x:row>
    <x:row r="17">
      <x:c r="A17" t="str">
        <x:v>NOPAT (Rp bn)</x:v>
      </x:c>
      <x:c r="B17" s="32" t="n">
        <x:f>B16*(1-B13)</x:f>
        <x:v>4346.007435432</x:v>
      </x:c>
      <x:c r="C17" s="32" t="n">
        <x:f>C16*(1-C13)</x:f>
        <x:v>4737.148104620881</x:v>
      </x:c>
      <x:c r="D17" s="32" t="n">
        <x:f>D16*(1-D13)</x:f>
        <x:v>5163.491434036761</x:v>
      </x:c>
      <x:c r="E17" s="32" t="n">
        <x:f>E16*(1-E13)</x:f>
        <x:v>5628.20566310007</x:v>
      </x:c>
      <x:c r="F17" s="32" t="n">
        <x:f>F16*(1-F13)</x:f>
        <x:v>6134.744172779076</x:v>
      </x:c>
    </x:row>
    <x:row r="18">
      <x:c r="A18" t="str">
        <x:v>(+) D&amp;A (Rp bn)</x:v>
      </x:c>
      <x:c r="B18" s="32" t="n">
        <x:f>B15*B7</x:f>
        <x:v>887.47037</x:v>
      </x:c>
      <x:c r="C18" s="32" t="n">
        <x:f>C15*C7</x:f>
        <x:v>967.3427033</x:v>
      </x:c>
      <x:c r="D18" s="32" t="n">
        <x:f>D15*D7</x:f>
        <x:v>1054.403546597</x:v>
      </x:c>
      <x:c r="E18" s="32" t="n">
        <x:f>E15*E7</x:f>
        <x:v>1149.29986579073</x:v>
      </x:c>
      <x:c r="F18" s="32" t="n">
        <x:f>F15*F7</x:f>
        <x:v>1252.736853711896</x:v>
      </x:c>
    </x:row>
    <x:row r="19">
      <x:c r="A19" t="str">
        <x:v>(-) CapEx (Rp bn)</x:v>
      </x:c>
      <x:c r="B19" s="32" t="n">
        <x:f>-B15*B8</x:f>
        <x:v>-791.11259112</x:v>
      </x:c>
      <x:c r="C19" s="32" t="n">
        <x:f>-C15*C8</x:f>
        <x:v>-862.3127243208</x:v>
      </x:c>
      <x:c r="D19" s="32" t="n">
        <x:f>-D15*D8</x:f>
        <x:v>-939.9208695096722</x:v>
      </x:c>
      <x:c r="E19" s="32" t="n">
        <x:f>-E15*E8</x:f>
        <x:v>-1024.5137477655428</x:v>
      </x:c>
      <x:c r="F19" s="32" t="n">
        <x:f>-F15*F8</x:f>
        <x:v>-1116.7199850644417</x:v>
      </x:c>
    </x:row>
    <x:row r="20">
      <x:c r="A20" t="str">
        <x:v>Operating NCWC (Rp bn)</x:v>
      </x:c>
      <x:c r="B20" s="32" t="n">
        <x:f>B15*B9</x:f>
        <x:v>9503.396210800001</x:v>
      </x:c>
      <x:c r="C20" s="32" t="n">
        <x:f>C15*C9</x:f>
        <x:v>10358.701869772001</x:v>
      </x:c>
      <x:c r="D20" s="32" t="n">
        <x:f>D15*D9</x:f>
        <x:v>11290.985038051482</x:v>
      </x:c>
      <x:c r="E20" s="32" t="n">
        <x:f>E15*E9</x:f>
        <x:v>12307.173691476117</x:v>
      </x:c>
      <x:c r="F20" s="32" t="n">
        <x:f>F15*F9</x:f>
        <x:v>13414.819323708967</x:v>
      </x:c>
    </x:row>
    <x:row r="21">
      <x:c r="A21" t="str">
        <x:v>(-) Change in NCWC (Rp bn)</x:v>
      </x:c>
      <x:c r="B21" s="32" t="n">
        <x:f>Inputs!$B$5-B20</x:f>
        <x:v>-78.1932108000019</x:v>
      </x:c>
      <x:c r="C21" s="32" t="n">
        <x:f>B20-C20</x:f>
        <x:v>-855.305658972</x:v>
      </x:c>
      <x:c r="D21" s="32" t="n">
        <x:f>C20-D20</x:f>
        <x:v>-932.2831682794804</x:v>
      </x:c>
      <x:c r="E21" s="32" t="n">
        <x:f>D20-E20</x:f>
        <x:v>-1016.188653424635</x:v>
      </x:c>
      <x:c r="F21" s="32" t="n">
        <x:f>E20-F20</x:f>
        <x:v>-1107.6456322328504</x:v>
      </x:c>
    </x:row>
    <x:row r="22" ht="25" customHeight="1">
      <x:c r="A22" s="40" t="str">
        <x:v>Free Cash Flow to Firm (Rp bn)</x:v>
      </x:c>
      <x:c r="B22" s="41" t="n">
        <x:f>SUM(B17:B19,B21)</x:f>
        <x:v>4364.172003511999</x:v>
      </x:c>
      <x:c r="C22" s="41" t="n">
        <x:f>SUM(C17:C19,C21)</x:f>
        <x:v>3986.872424628081</x:v>
      </x:c>
      <x:c r="D22" s="41" t="n">
        <x:f>SUM(D17:D19,D21)</x:f>
        <x:v>4345.690942844609</x:v>
      </x:c>
      <x:c r="E22" s="41" t="n">
        <x:f>SUM(E17:E19,E21)</x:f>
        <x:v>4736.803127700622</x:v>
      </x:c>
      <x:c r="F22" s="41" t="n">
        <x:f>SUM(F17:F19,F21)</x:f>
        <x:v>5163.11540919368</x:v>
      </x:c>
    </x:row>
    <x:row r="23">
      <x:c r="A23" t="str">
        <x:v>PV factor</x:v>
      </x:c>
      <x:c r="B23" s="36" t="n">
        <x:f>1/(1+B10)^1</x:f>
        <x:v>0.8992243740161923</x:v>
      </x:c>
      <x:c r="C23" s="36" t="n">
        <x:f>1/(1+C10)^2</x:f>
        <x:v>0.8086044748248128</x:v>
      </x:c>
      <x:c r="D23" s="36" t="n">
        <x:f>1/(1+D10)^3</x:f>
        <x:v>0.7271168527010343</x:v>
      </x:c>
      <x:c r="E23" s="36" t="n">
        <x:f>1/(1+E10)^4</x:f>
        <x:v>0.6538411967067114</x:v>
      </x:c>
      <x:c r="F23" s="36" t="n">
        <x:f>1/(1+F10)^5</x:f>
        <x:v>0.5879499408145905</x:v>
      </x:c>
    </x:row>
    <x:row r="24" ht="25" customHeight="1">
      <x:c r="A24" s="40" t="str">
        <x:v>Present Value of FCFF (Rp bn)</x:v>
      </x:c>
      <x:c r="B24" s="41" t="n">
        <x:f>B22*B23</x:f>
        <x:v>3924.3698379570687</x:v>
      </x:c>
      <x:c r="C24" s="41" t="n">
        <x:f>C22*C23</x:f>
        <x:v>3223.8028831099173</x:v>
      </x:c>
      <x:c r="D24" s="41" t="n">
        <x:f>D22*D23</x:f>
        <x:v>3159.8251211725624</x:v>
      </x:c>
      <x:c r="E24" s="41" t="n">
        <x:f>E22*E23</x:f>
        <x:v>3097.117025579868</x:v>
      </x:c>
      <x:c r="F24" s="41" t="n">
        <x:f>F22*F23</x:f>
        <x:v>3035.653399254324</x:v>
      </x:c>
    </x:row>
    <x:row r="25">
      <x:c r="B25" s="32"/>
      <x:c r="C25" s="32"/>
      <x:c r="D25" s="32"/>
      <x:c r="E25" s="32"/>
      <x:c r="F25" s="32"/>
    </x:row>
    <x:row r="26" ht="25" customHeight="1">
      <x:c r="A26" s="28" t="str">
        <x:v>TERMINAL VALUATION</x:v>
      </x:c>
      <x:c r="B26" s="33"/>
      <x:c r="C26" s="33"/>
      <x:c r="D26" s="33"/>
      <x:c r="E26" s="33"/>
      <x:c r="F26" s="33"/>
    </x:row>
    <x:row r="27">
      <x:c r="A27" t="str">
        <x:v>Terminal NOPAT Y6 (Rp bn)</x:v>
      </x:c>
      <x:c r="B27" s="32" t="n">
        <x:f>F17*(1+F11)</x:f>
        <x:v>6318.786497962448</x:v>
      </x:c>
      <x:c r="C27" s="32"/>
      <x:c r="D27" s="32"/>
      <x:c r="E27" s="32"/>
      <x:c r="F27" s="32"/>
    </x:row>
    <x:row r="28">
      <x:c r="A28" t="str">
        <x:v>(-) Terminal reinvestment (Rp bn)</x:v>
      </x:c>
      <x:c r="B28" s="32" t="n">
        <x:f>-B27*F11/F12</x:f>
        <x:v>-1263.7572995924897</x:v>
      </x:c>
      <x:c r="C28" s="32"/>
      <x:c r="D28" s="32"/>
      <x:c r="E28" s="32"/>
      <x:c r="F28" s="32"/>
    </x:row>
    <x:row r="29" ht="25" customHeight="1">
      <x:c r="A29" s="40" t="str">
        <x:v>Terminal FCFF (Rp bn)</x:v>
      </x:c>
      <x:c r="B29" s="41" t="n">
        <x:f>SUM(B27:B28)</x:f>
        <x:v>5055.029198369959</x:v>
      </x:c>
      <x:c r="C29" s="41"/>
      <x:c r="D29" s="41"/>
      <x:c r="E29" s="41"/>
      <x:c r="F29" s="41"/>
    </x:row>
    <x:row r="30">
      <x:c r="A30" t="str">
        <x:v>Terminal Value at FY5 (Rp bn)</x:v>
      </x:c>
      <x:c r="B30" s="32" t="n">
        <x:f>IF(F10&gt;F11,B29/(F10-F11),"")</x:f>
        <x:v>61594.49245298143</x:v>
      </x:c>
      <x:c r="C30" s="32"/>
      <x:c r="D30" s="32"/>
      <x:c r="E30" s="32"/>
      <x:c r="F30" s="32"/>
    </x:row>
    <x:row r="31">
      <x:c r="A31" t="str">
        <x:v>PV of Terminal Value (Rp bn)</x:v>
      </x:c>
      <x:c r="B31" s="32" t="n">
        <x:f>B30/(1+F10)^COUNT(B15:F15)</x:f>
        <x:v>36214.478192235176</x:v>
      </x:c>
      <x:c r="C31" s="32"/>
      <x:c r="D31" s="32"/>
      <x:c r="E31" s="32"/>
      <x:c r="F31" s="32"/>
    </x:row>
    <x:row r="32">
      <x:c r="A32" t="str">
        <x:v>PV of projected FCFF (Rp bn)</x:v>
      </x:c>
      <x:c r="B32" s="32" t="n">
        <x:f>SUM(B24:F24)</x:f>
        <x:v>16440.76826707374</x:v>
      </x:c>
      <x:c r="C32" s="32"/>
      <x:c r="D32" s="32"/>
      <x:c r="E32" s="32"/>
      <x:c r="F32" s="32"/>
    </x:row>
    <x:row r="33" ht="25" customHeight="1">
      <x:c r="A33" s="48" t="str">
        <x:v>OPERATING ENTERPRISE VALUE (Rp bn)</x:v>
      </x:c>
      <x:c r="B33" s="49" t="n">
        <x:f>SUM(B31:B32)</x:f>
        <x:v>52655.24645930892</x:v>
      </x:c>
      <x:c r="C33" s="49"/>
      <x:c r="D33" s="49"/>
      <x:c r="E33" s="49"/>
      <x:c r="F33" s="49"/>
    </x:row>
    <x:row r="34">
      <x:c r="A34" t="str">
        <x:v>PV Terminal / Operating EV (%)</x:v>
      </x:c>
      <x:c r="B34" s="30" t="n">
        <x:f>IFERROR(B31/B33,"")</x:f>
        <x:v>0.6877658092479182</x:v>
      </x:c>
    </x:row>
  </x:sheetData>
  <x:mergeCells>
    <x:mergeCell ref="A1:F1"/>
    <x:mergeCell ref="A14:F14"/>
    <x:mergeCell ref="A26:F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9" hidden="0" customWidth="1"/>
  </x:cols>
  <x:sheetData>
    <x:row r="1" ht="34" customHeight="1">
      <x:c r="A1" s="4" t="str">
        <x:v>DCF | BEAR BASE BULL COMPARISON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5" ht="23" customHeight="1">
      <x:c r="A5" s="9" t="str">
        <x:v>Scenario</x:v>
      </x:c>
      <x:c r="B5" s="9" t="str">
        <x:v>Operating EV (bn)</x:v>
      </x:c>
      <x:c r="C5" s="9" t="str">
        <x:v>PV FCFF (bn)</x:v>
      </x:c>
      <x:c r="D5" s="9" t="str">
        <x:v>PV Terminal (bn)</x:v>
      </x:c>
      <x:c r="E5" s="9" t="str">
        <x:v>WACC</x:v>
      </x:c>
      <x:c r="F5" s="9" t="str">
        <x:v>PV Terminal %</x:v>
      </x:c>
      <x:c r="G5" s="9" t="str">
        <x:v>Bridge adj. (bn)</x:v>
      </x:c>
      <x:c r="H5" s="9" t="str">
        <x:v>Equity (bn)*</x:v>
      </x:c>
      <x:c r="I5" s="9" t="str">
        <x:v>Rp/share*</x:v>
      </x:c>
      <x:c r="J5" s="9" t="str">
        <x:v>Quality</x:v>
      </x:c>
    </x:row>
    <x:row r="6" ht="31" customHeight="1">
      <x:c r="A6" t="str">
        <x:v>Bear</x:v>
      </x:c>
      <x:c r="B6" s="32" t="n">
        <x:f>'DCF Bear'!B33</x:f>
        <x:v>25069.147996766413</x:v>
      </x:c>
      <x:c r="C6" s="32" t="n">
        <x:f>'DCF Bear'!B32</x:f>
        <x:v>9525.580405562534</x:v>
      </x:c>
      <x:c r="D6" s="32" t="n">
        <x:f>'DCF Bear'!B31</x:f>
        <x:v>15543.567591203877</x:v>
      </x:c>
      <x:c r="E6" s="30" t="n">
        <x:f>'DCF Bear'!B10</x:f>
        <x:v>0.13206949999999998</x:v>
      </x:c>
      <x:c r="F6" s="30" t="n">
        <x:f>'DCF Bear'!B34</x:f>
        <x:v>0.6200277565559384</x:v>
      </x:c>
      <x:c r="G6" s="32" t="str">
        <x:f>IF(Inputs!$B$31=1,Inputs!$B$27+Inputs!$B$29-Inputs!$B$22-Inputs!$B$28-Inputs!$B$24-Inputs!$B$30,"")</x:f>
      </x:c>
      <x:c r="H6" s="32" t="str">
        <x:f>IF(Inputs!$B$31=1,SUM(B6,G6),"")</x:f>
      </x:c>
      <x:c r="I6" s="32" t="str">
        <x:f>IF(Inputs!$B$31=1,H6/Inputs!$B$8,"")</x:f>
      </x:c>
      <x:c r="J6" s="13" t="str">
        <x:v>PRELIMINARY EV / ILLUSTRATIVE EQUITY</x:v>
      </x:c>
    </x:row>
    <x:row r="7" ht="31" customHeight="1">
      <x:c r="A7" t="str">
        <x:v>Base</x:v>
      </x:c>
      <x:c r="B7" s="32" t="n">
        <x:f>'DCF Base'!B33</x:f>
        <x:v>36444.02261792212</x:v>
      </x:c>
      <x:c r="C7" s="32" t="n">
        <x:f>'DCF Base'!B32</x:f>
        <x:v>12783.26841842585</x:v>
      </x:c>
      <x:c r="D7" s="32" t="n">
        <x:f>'DCF Base'!B31</x:f>
        <x:v>23660.754199496274</x:v>
      </x:c>
      <x:c r="E7" s="30" t="n">
        <x:f>'DCF Base'!B10</x:f>
        <x:v>0.12206949999999998</x:v>
      </x:c>
      <x:c r="F7" s="30" t="n">
        <x:f>'DCF Base'!B34</x:f>
        <x:v>0.6492355261534877</x:v>
      </x:c>
      <x:c r="G7" s="32" t="str">
        <x:f>IF(Inputs!$B$31=1,Inputs!$B$27+Inputs!$B$29-Inputs!$B$22-Inputs!$B$28-Inputs!$B$24-Inputs!$B$30,"")</x:f>
      </x:c>
      <x:c r="H7" s="32" t="str">
        <x:f>IF(Inputs!$B$31=1,SUM(B7,G7),"")</x:f>
      </x:c>
      <x:c r="I7" s="32" t="str">
        <x:f>IF(Inputs!$B$31=1,H7/Inputs!$B$8,"")</x:f>
      </x:c>
      <x:c r="J7" s="13" t="str">
        <x:v>PRELIMINARY EV / ILLUSTRATIVE EQUITY</x:v>
      </x:c>
    </x:row>
    <x:row r="8" ht="31" customHeight="1">
      <x:c r="A8" t="str">
        <x:v>Bull</x:v>
      </x:c>
      <x:c r="B8" s="32" t="n">
        <x:f>'DCF Bull'!B33</x:f>
        <x:v>52655.24645930892</x:v>
      </x:c>
      <x:c r="C8" s="32" t="n">
        <x:f>'DCF Bull'!B32</x:f>
        <x:v>16440.76826707374</x:v>
      </x:c>
      <x:c r="D8" s="32" t="n">
        <x:f>'DCF Bull'!B31</x:f>
        <x:v>36214.478192235176</x:v>
      </x:c>
      <x:c r="E8" s="30" t="n">
        <x:f>'DCF Bull'!B10</x:f>
        <x:v>0.11206949999999999</x:v>
      </x:c>
      <x:c r="F8" s="30" t="n">
        <x:f>'DCF Bull'!B34</x:f>
        <x:v>0.6877658092479182</x:v>
      </x:c>
      <x:c r="G8" s="32" t="str">
        <x:f>IF(Inputs!$B$31=1,Inputs!$B$27+Inputs!$B$29-Inputs!$B$22-Inputs!$B$28-Inputs!$B$24-Inputs!$B$30,"")</x:f>
      </x:c>
      <x:c r="H8" s="32" t="str">
        <x:f>IF(Inputs!$B$31=1,SUM(B8,G8),"")</x:f>
      </x:c>
      <x:c r="I8" s="32" t="str">
        <x:f>IF(Inputs!$B$31=1,H8/Inputs!$B$8,"")</x:f>
      </x:c>
      <x:c r="J8" s="13" t="str">
        <x:v>PRELIMINARY EV / ILLUSTRATIVE EQUITY</x:v>
      </x:c>
    </x:row>
    <x:row r="10" ht="35" customHeight="1">
      <x:c r="A10" s="13" t="str">
        <x:v>* Equity values are conditional on submitted source/rationale; no certified fair value or investment recommendation.</x:v>
      </x:c>
      <x:c r="B10" s="13"/>
      <x:c r="C10" s="13"/>
      <x:c r="D10" s="13"/>
      <x:c r="E10" s="13"/>
      <x:c r="F10" s="13"/>
      <x:c r="G10" s="13"/>
      <x:c r="H10" s="13"/>
      <x:c r="I10" s="13"/>
      <x:c r="J10" s="13"/>
    </x:row>
  </x:sheetData>
  <x:mergeCells>
    <x:mergeCell ref="A1:J1"/>
    <x:mergeCell ref="A10:J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6" hidden="0" customWidth="1"/>
  </x:cols>
  <x:sheetData>
    <x:row r="1" ht="34" customHeight="1">
      <x:c r="A1" s="4" t="str">
        <x:v>PEER MULTIPLES | SOURCE CANDIDATES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7" ht="23" customHeight="1">
      <x:c r="A7" s="9" t="str">
        <x:v>Ticker</x:v>
      </x:c>
      <x:c r="B7" s="9" t="str">
        <x:v>Selected 1/0</x:v>
      </x:c>
      <x:c r="C7" s="9" t="str">
        <x:v>Date</x:v>
      </x:c>
      <x:c r="D7" s="9" t="str">
        <x:v>Price (Rp/sh)</x:v>
      </x:c>
      <x:c r="E7" s="9" t="str">
        <x:v>Parent NI (bn)</x:v>
      </x:c>
      <x:c r="F7" s="9" t="str">
        <x:v>Equity (bn)</x:v>
      </x:c>
      <x:c r="G7" s="9" t="str">
        <x:v>Shares (bn)</x:v>
      </x:c>
      <x:c r="H7" s="9" t="str">
        <x:v>Market cap (bn)</x:v>
      </x:c>
      <x:c r="I7" s="9" t="str">
        <x:v>Debt book (bn)</x:v>
      </x:c>
      <x:c r="J7" s="9" t="str">
        <x:v>NCI book (bn)</x:v>
      </x:c>
      <x:c r="K7" s="9" t="str">
        <x:v>Cash book (bn)</x:v>
      </x:c>
      <x:c r="L7" s="9" t="str">
        <x:v>EBITDA cand. (bn)</x:v>
      </x:c>
      <x:c r="M7" s="9" t="str">
        <x:v>P/E (x)</x:v>
      </x:c>
      <x:c r="N7" s="9" t="str">
        <x:v>P/BV (x)</x:v>
      </x:c>
      <x:c r="O7" s="9" t="str">
        <x:v>EV screen (bn)</x:v>
      </x:c>
      <x:c r="P7" s="9" t="str">
        <x:v>EV/EBITDA (x)</x:v>
      </x:c>
      <x:c r="Q7" s="9" t="str">
        <x:v>Selected P/E</x:v>
      </x:c>
      <x:c r="R7" s="9" t="str">
        <x:v>Selected P/BV</x:v>
      </x:c>
      <x:c r="S7" s="9" t="str">
        <x:v>Selected EV/x</x:v>
      </x:c>
      <x:c r="T7" s="9" t="str">
        <x:v>Evidence / caveat</x:v>
      </x:c>
    </x:row>
    <x:row r="8">
      <x:c r="A8" t="str">
        <x:v>TSPC.JK</x:v>
      </x:c>
      <x:c r="B8" s="16" t="n">
        <x:v>1</x:v>
      </x:c>
      <x:c r="C8" t="str">
        <x:v>2025-12-30</x:v>
      </x:c>
      <x:c r="D8" s="32" t="n">
        <x:v>2850</x:v>
      </x:c>
      <x:c r="E8" s="32" t="n">
        <x:v>1406.763933286</x:v>
      </x:c>
      <x:c r="F8" s="32" t="n">
        <x:v>9191.90882008</x:v>
      </x:c>
      <x:c r="G8" s="32" t="n">
        <x:v>4.5098643</x:v>
      </x:c>
      <x:c r="H8" s="32" t="n">
        <x:v>12853.113255</x:v>
      </x:c>
      <x:c r="I8" s="32" t="n">
        <x:v>1060.819897307</x:v>
      </x:c>
      <x:c r="J8" s="32" t="n">
        <x:v>468.21747942</x:v>
      </x:c>
      <x:c r="K8" s="32" t="n">
        <x:v>4637.951601745</x:v>
      </x:c>
      <x:c r="L8" s="32" t="n">
        <x:v>2084.918706224</x:v>
      </x:c>
      <x:c r="M8" s="54" t="n">
        <x:v>9.13665253343321</x:v>
      </x:c>
      <x:c r="N8" s="54" t="n">
        <x:v>1.3983073055426736</x:v>
      </x:c>
      <x:c r="O8" s="32" t="n">
        <x:f>IF(COUNT(H8:K8)=4,H8+I8+J8-K8,"")</x:f>
        <x:v>9744.199029981999</x:v>
      </x:c>
      <x:c r="P8" s="54" t="n">
        <x:f>IF(AND(ISNUMBER(O8),L8&gt;0),O8/L8,"")</x:f>
        <x:v>4.67365897811418</x:v>
      </x:c>
      <x:c r="Q8" s="54" t="n">
        <x:f>IF(AND(B8=1,ISNUMBER(M8),M8&gt;0),M8,"")</x:f>
        <x:v>9.13665253343321</x:v>
      </x:c>
      <x:c r="R8" s="54" t="n">
        <x:f>IF(AND(B8=1,ISNUMBER(N8),N8&gt;0),N8,"")</x:f>
        <x:v>1.3983073055426736</x:v>
      </x:c>
      <x:c r="S8" s="54" t="n">
        <x:f>IF(AND(B8=1,ISNUMBER(P8),P8&gt;0),P8,"")</x:f>
        <x:v>4.67365897811418</x:v>
      </x:c>
      <x:c r="T8" s="13" t="str">
        <x:v>Unreconciled EBITDA/book EV screening</x:v>
      </x:c>
    </x:row>
    <x:row r="9">
      <x:c r="A9" t="str">
        <x:v>SIDO.JK</x:v>
      </x:c>
      <x:c r="B9" s="16" t="n">
        <x:v>0</x:v>
      </x:c>
      <x:c r="C9" t="str">
        <x:v>2025-12-30</x:v>
      </x:c>
      <x:c r="D9" s="32" t="n">
        <x:v>540</x:v>
      </x:c>
      <x:c r="E9" s="32" t="n">
        <x:v>1229.202</x:v>
      </x:c>
      <x:c r="F9" s="32" t="n">
        <x:v>3120.427</x:v>
      </x:c>
      <x:c r="G9" s="32" t="n">
        <x:v>29.4352</x:v>
      </x:c>
      <x:c r="H9" s="32" t="n">
        <x:v>15895.008</x:v>
      </x:c>
      <x:c r="I9" s="32" t="n">
        <x:v>4.11</x:v>
      </x:c>
      <x:c r="J9" s="32" t="n">
        <x:v>0.007</x:v>
      </x:c>
      <x:c r="K9" s="32" t="n">
        <x:v>462.593</x:v>
      </x:c>
      <x:c r="L9" s="32" t="n">
        <x:v>1601.963</x:v>
      </x:c>
      <x:c r="M9" s="54" t="n">
        <x:v>12.931160216140228</x:v>
      </x:c>
      <x:c r="N9" s="54" t="n">
        <x:v>5.093856706149511</x:v>
      </x:c>
      <x:c r="O9" s="32" t="n">
        <x:f>IF(COUNT(H9:K9)=4,H9+I9+J9-K9,"")</x:f>
        <x:v>15436.532</x:v>
      </x:c>
      <x:c r="P9" s="54" t="n">
        <x:f>IF(AND(ISNUMBER(O9),L9&gt;0),O9/L9,"")</x:f>
        <x:v>9.636010319838848</x:v>
      </x:c>
      <x:c r="Q9" s="54" t="str">
        <x:f>IF(AND(B9=1,ISNUMBER(M9),M9&gt;0),M9,"")</x:f>
      </x:c>
      <x:c r="R9" s="54" t="str">
        <x:f>IF(AND(B9=1,ISNUMBER(N9),N9&gt;0),N9,"")</x:f>
      </x:c>
      <x:c r="S9" s="54" t="str">
        <x:f>IF(AND(B9=1,ISNUMBER(P9),P9&gt;0),P9,"")</x:f>
      </x:c>
      <x:c r="T9" s="13" t="str">
        <x:v>Unreconciled EBITDA/book EV screening</x:v>
      </x:c>
    </x:row>
    <x:row r="10">
      <x:c r="A10" t="str">
        <x:v>DVLA.JK</x:v>
      </x:c>
      <x:c r="B10" s="16" t="n">
        <x:v>0</x:v>
      </x:c>
      <x:c r="C10" t="str">
        <x:v>2025-12-30</x:v>
      </x:c>
      <x:c r="D10" s="32" t="n">
        <x:v>1650</x:v>
      </x:c>
      <x:c r="E10" s="32" t="n">
        <x:v>163.947127</x:v>
      </x:c>
      <x:c r="F10" s="32" t="n">
        <x:v>1479.825065</x:v>
      </x:c>
      <x:c r="G10" s="32" t="n">
        <x:v>1.12</x:v>
      </x:c>
      <x:c r="H10" s="32" t="n">
        <x:v>1848.0000000000002</x:v>
      </x:c>
      <x:c r="I10" s="32" t="n">
        <x:v>0.206868</x:v>
      </x:c>
      <x:c r="J10" s="32" t="n">
        <x:v>0.001107</x:v>
      </x:c>
      <x:c r="K10" s="32" t="n">
        <x:v>341.559246</x:v>
      </x:c>
      <x:c r="L10" s="32" t="n">
        <x:v>261.492546</x:v>
      </x:c>
      <x:c r="M10" s="54" t="n">
        <x:v>11.271926710859656</x:v>
      </x:c>
      <x:c r="N10" s="54" t="n">
        <x:v>1.2487962555222702</x:v>
      </x:c>
      <x:c r="O10" s="32" t="n">
        <x:f>IF(COUNT(H10:K10)=4,H10+I10+J10-K10,"")</x:f>
        <x:v>1506.6487290000002</x:v>
      </x:c>
      <x:c r="P10" s="54" t="n">
        <x:f>IF(AND(ISNUMBER(O10),L10&gt;0),O10/L10,"")</x:f>
        <x:v>5.761727253976869</x:v>
      </x:c>
      <x:c r="Q10" s="54" t="str">
        <x:f>IF(AND(B10=1,ISNUMBER(M10),M10&gt;0),M10,"")</x:f>
      </x:c>
      <x:c r="R10" s="54" t="str">
        <x:f>IF(AND(B10=1,ISNUMBER(N10),N10&gt;0),N10,"")</x:f>
      </x:c>
      <x:c r="S10" s="54" t="str">
        <x:f>IF(AND(B10=1,ISNUMBER(P10),P10&gt;0),P10,"")</x:f>
      </x:c>
      <x:c r="T10" s="13" t="str">
        <x:v>DVLA: provider cross-check only</x:v>
      </x:c>
    </x:row>
    <x:row r="11">
      <x:c r="A11" t="str">
        <x:v>MERK.JK</x:v>
      </x:c>
      <x:c r="B11" s="16" t="n">
        <x:v>0</x:v>
      </x:c>
      <x:c r="C11" t="str">
        <x:v>2025-12-30</x:v>
      </x:c>
      <x:c r="D11" s="32" t="n">
        <x:v>3350</x:v>
      </x:c>
      <x:c r="E11" s="32" t="n">
        <x:v>243.896434</x:v>
      </x:c>
      <x:c r="F11" s="32" t="n">
        <x:v>975.714314</x:v>
      </x:c>
      <x:c r="G11" s="32" t="n">
        <x:v>0.448</x:v>
      </x:c>
      <x:c r="H11" s="32" t="n">
        <x:v>1500.8</x:v>
      </x:c>
      <x:c r="I11" s="32" t="n">
        <x:v>14.228509</x:v>
      </x:c>
      <x:c r="J11" s="32" t="n">
        <x:v>0</x:v>
      </x:c>
      <x:c r="K11" s="32" t="n">
        <x:v>363.850011</x:v>
      </x:c>
      <x:c r="L11" s="32" t="n">
        <x:v>337.947587</x:v>
      </x:c>
      <x:c r="M11" s="54" t="n">
        <x:v>6.153431501175618</x:v>
      </x:c>
      <x:c r="N11" s="54" t="n">
        <x:v>1.5381551530666588</x:v>
      </x:c>
      <x:c r="O11" s="32" t="n">
        <x:f>IF(COUNT(H11:K11)=4,H11+I11+J11-K11,"")</x:f>
        <x:v>1151.178498</x:v>
      </x:c>
      <x:c r="P11" s="54" t="n">
        <x:f>IF(AND(ISNUMBER(O11),L11&gt;0),O11/L11,"")</x:f>
        <x:v>3.406381765347536</x:v>
      </x:c>
      <x:c r="Q11" s="54" t="str">
        <x:f>IF(AND(B11=1,ISNUMBER(M11),M11&gt;0),M11,"")</x:f>
      </x:c>
      <x:c r="R11" s="54" t="str">
        <x:f>IF(AND(B11=1,ISNUMBER(N11),N11&gt;0),N11,"")</x:f>
      </x:c>
      <x:c r="S11" s="54" t="str">
        <x:f>IF(AND(B11=1,ISNUMBER(P11),P11&gt;0),P11,"")</x:f>
      </x:c>
      <x:c r="T11" s="13" t="str">
        <x:v>Unreconciled EBITDA/book EV screening</x:v>
      </x:c>
    </x:row>
    <x:row r="12">
      <x:c r="A12" t="str">
        <x:v>SOHO.JK</x:v>
      </x:c>
      <x:c r="B12" s="16" t="n">
        <x:v>1</x:v>
      </x:c>
      <x:c r="C12" t="str">
        <x:v>2025-12-30</x:v>
      </x:c>
      <x:c r="D12" s="32" t="n">
        <x:v>1370</x:v>
      </x:c>
      <x:c r="E12" s="32" t="n">
        <x:v>600.321</x:v>
      </x:c>
      <x:c r="F12" s="32" t="n">
        <x:v>2583.002</x:v>
      </x:c>
      <x:c r="G12" s="32" t="n">
        <x:v>12.69168239</x:v>
      </x:c>
      <x:c r="H12" s="32" t="n">
        <x:v>17387.6048743</x:v>
      </x:c>
      <x:c r="I12" s="32" t="n">
        <x:v>7.219</x:v>
      </x:c>
      <x:c r="J12" s="32" t="n">
        <x:v>0</x:v>
      </x:c>
      <x:c r="K12" s="32" t="n">
        <x:v>1104.126</x:v>
      </x:c>
      <x:c r="L12" s="32" t="n">
        <x:v>820.751</x:v>
      </x:c>
      <x:c r="M12" s="54" t="n">
        <x:v>28.963845799663844</x:v>
      </x:c>
      <x:c r="N12" s="54" t="n">
        <x:v>6.731549133256575</x:v>
      </x:c>
      <x:c r="O12" s="32" t="n">
        <x:f>IF(COUNT(H12:K12)=4,H12+I12+J12-K12,"")</x:f>
        <x:v>16290.6978743</x:v>
      </x:c>
      <x:c r="P12" s="54" t="n">
        <x:f>IF(AND(ISNUMBER(O12),L12&gt;0),O12/L12,"")</x:f>
        <x:v>19.848526379255098</x:v>
      </x:c>
      <x:c r="Q12" s="54" t="n">
        <x:f>IF(AND(B12=1,ISNUMBER(M12),M12&gt;0),M12,"")</x:f>
        <x:v>28.963845799663844</x:v>
      </x:c>
      <x:c r="R12" s="54" t="n">
        <x:f>IF(AND(B12=1,ISNUMBER(N12),N12&gt;0),N12,"")</x:f>
        <x:v>6.731549133256575</x:v>
      </x:c>
      <x:c r="S12" s="54" t="n">
        <x:f>IF(AND(B12=1,ISNUMBER(P12),P12&gt;0),P12,"")</x:f>
        <x:v>19.848526379255098</x:v>
      </x:c>
      <x:c r="T12" s="13" t="str">
        <x:v>Unreconciled EBITDA/book EV screening</x:v>
      </x:c>
    </x:row>
  </x:sheetData>
  <x:mergeCells>
    <x:mergeCell ref="A1:T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4" customHeight="1">
      <x:c r="A1" s="4" t="str">
        <x:v>VALUATION RECONCILIATION | PRELIMINARY</x:v>
      </x:c>
      <x:c r="B1" s="4"/>
      <x:c r="C1" s="4"/>
      <x:c r="D1" s="4"/>
      <x:c r="E1" s="4"/>
      <x:c r="F1" s="4"/>
    </x:row>
    <x:row r="4" ht="23" customHeight="1">
      <x:c r="A4" s="9" t="str">
        <x:v>Method</x:v>
      </x:c>
      <x:c r="B4" s="9" t="str">
        <x:v>Peer count</x:v>
      </x:c>
      <x:c r="C4" s="9" t="str">
        <x:v>Low (Rp/sh)*</x:v>
      </x:c>
      <x:c r="D4" s="9" t="str">
        <x:v>Midpoint (Rp/sh)*</x:v>
      </x:c>
      <x:c r="E4" s="9" t="str">
        <x:v>High (Rp/sh)*</x:v>
      </x:c>
      <x:c r="F4" s="9" t="str">
        <x:v>Status</x:v>
      </x:c>
    </x:row>
    <x:row r="5">
      <x:c r="A5" t="str">
        <x:v>P/E</x:v>
      </x:c>
      <x:c r="B5" t="n">
        <x:f>COUNT('Peer Multiples'!Q8:Q12)</x:f>
        <x:v>2</x:v>
      </x:c>
      <x:c r="C5" s="32" t="n">
        <x:f>IF(B5&gt;=2,_xlfn.PERCENTILE.INC('Peer Multiples'!Q8:Q12,0.25)*(Inputs!$B$6/Inputs!$B$8),"")</x:f>
        <x:v>1140.5702923961617</x:v>
      </x:c>
      <x:c r="D5" s="32" t="n">
        <x:f>IF(B5&gt;=2,MEDIAN('Peer Multiples'!Q8:Q12)*(Inputs!$B$6/Inputs!$B$8),"")</x:f>
        <x:v>1541.719518759599</x:v>
      </x:c>
      <x:c r="E5" s="32" t="n">
        <x:f>IF(B5&gt;=2,_xlfn.PERCENTILE.INC('Peer Multiples'!Q8:Q12,0.75)*(Inputs!$B$6/Inputs!$B$8),"")</x:f>
        <x:v>1942.8687451230373</x:v>
      </x:c>
      <x:c r="F5" t="str">
        <x:v>PRELIMINARY</x:v>
      </x:c>
    </x:row>
    <x:row r="6">
      <x:c r="A6" t="str">
        <x:v>P/BV</x:v>
      </x:c>
      <x:c r="B6" t="n">
        <x:f>COUNT('Peer Multiples'!R8:R12)</x:f>
        <x:v>2</x:v>
      </x:c>
      <x:c r="C6" s="32" t="n">
        <x:f>IF(B6&gt;=2,_xlfn.PERCENTILE.INC('Peer Multiples'!R8:R12,0.25)*(Inputs!$B$7/Inputs!$B$8),"")</x:f>
        <x:v>1406.173614596354</x:v>
      </x:c>
      <x:c r="D6" s="32" t="n">
        <x:f>IF(B6&gt;=2,MEDIAN('Peer Multiples'!R8:R12)*(Inputs!$B$7/Inputs!$B$8),"")</x:f>
        <x:v>2092.53098507345</x:v>
      </x:c>
      <x:c r="E6" s="32" t="n">
        <x:f>IF(B6&gt;=2,_xlfn.PERCENTILE.INC('Peer Multiples'!R8:R12,0.75)*(Inputs!$B$7/Inputs!$B$8),"")</x:f>
        <x:v>2778.888355550548</x:v>
      </x:c>
      <x:c r="F6" t="str">
        <x:v>PRELIMINARY</x:v>
      </x:c>
    </x:row>
    <x:row r="7">
      <x:c r="A7" t="str">
        <x:v>DCF Bear (illustrative)</x:v>
      </x:c>
      <x:c r="C7" s="32"/>
      <x:c r="D7" s="32" t="str">
        <x:f>IF(Inputs!$B$31=1,Scenarios!I6,"")</x:f>
      </x:c>
      <x:c r="E7" s="32"/>
      <x:c r="F7" t="str">
        <x:v>ILLUSTRATIVE ONLY</x:v>
      </x:c>
    </x:row>
    <x:row r="8">
      <x:c r="A8" t="str">
        <x:v>DCF Base (illustrative)</x:v>
      </x:c>
      <x:c r="C8" s="32"/>
      <x:c r="D8" s="32" t="str">
        <x:f>IF(Inputs!$B$31=1,Scenarios!I7,"")</x:f>
      </x:c>
      <x:c r="E8" s="32"/>
      <x:c r="F8" t="str">
        <x:v>ILLUSTRATIVE ONLY</x:v>
      </x:c>
    </x:row>
    <x:row r="9">
      <x:c r="A9" t="str">
        <x:v>DCF Bull (illustrative)</x:v>
      </x:c>
      <x:c r="C9" s="32"/>
      <x:c r="D9" s="32" t="str">
        <x:f>IF(Inputs!$B$31=1,Scenarios!I8,"")</x:f>
      </x:c>
      <x:c r="E9" s="32"/>
      <x:c r="F9" t="str">
        <x:v>ILLUSTRATIVE ONLY</x:v>
      </x:c>
    </x:row>
    <x:row r="11">
      <x:c r="A11" t="str">
        <x:v>EV/EBITDA median (x)</x:v>
      </x:c>
      <x:c r="D11" s="54" t="n">
        <x:f>IF(COUNT('Peer Multiples'!S8:S12)&gt;=2,MEDIAN('Peer Multiples'!S8:S12),"")</x:f>
        <x:v>12.261092678684639</x:v>
      </x:c>
    </x:row>
    <x:row r="12">
      <x:c r="A12" t="str">
        <x:v>KLBF EBITDA candidate (bn)</x:v>
      </x:c>
      <x:c r="D12" s="32" t="n">
        <x:f>SUM(Inputs!B25:Inputs!B26)</x:f>
        <x:v>5396.072</x:v>
      </x:c>
    </x:row>
    <x:row r="13">
      <x:c r="A13" t="str">
        <x:v>Implied EV from EV/EBITDA (bn)</x:v>
      </x:c>
      <x:c r="D13" s="32" t="n">
        <x:f>IF(ISNUMBER(D11),D11*D12,"")</x:f>
        <x:v>66161.73889285518</x:v>
      </x:c>
      <x:c r="F13" t="str">
        <x:v>SCREENING ONLY</x:v>
      </x:c>
    </x:row>
    <x:row r="14">
      <x:c r="A14" t="str">
        <x:v>DCF Operating EV - Base (bn)</x:v>
      </x:c>
      <x:c r="D14" s="32" t="n">
        <x:f>Scenarios!B7</x:f>
        <x:v>36444.02261792212</x:v>
      </x:c>
      <x:c r="F14" t="str">
        <x:v>PRELIMINARY EV</x:v>
      </x:c>
    </x:row>
    <x:row r="16">
      <x:c r="A16" t="str">
        <x:v>Consolidated fair value</x:v>
      </x:c>
      <x:c r="D16" t="str">
        <x:v>NOT RATED</x:v>
      </x:c>
      <x:c r="F16" t="str">
        <x:v>DO NOT BLEND AUTOMATICALLY</x:v>
      </x:c>
    </x:row>
    <x:row r="19" ht="25" customHeight="1">
      <x:c r="A19" s="28" t="str">
        <x:v>DATA QUALITY AND METHODOLOGY</x:v>
      </x:c>
      <x:c r="B19" s="28"/>
      <x:c r="C19" s="28"/>
      <x:c r="D19" s="28"/>
      <x:c r="E19" s="28"/>
      <x:c r="F19" s="28"/>
    </x:row>
    <x:row r="20" ht="26" customHeight="1">
      <x:c r="A20" s="13" t="str">
        <x:v>FY2025 accounts published in 2026 — December 2025 close is retrospective only.</x:v>
      </x:c>
      <x:c r="B20" s="13"/>
      <x:c r="C20" s="13"/>
      <x:c r="D20" s="13"/>
      <x:c r="E20" s="13"/>
      <x:c r="F20" s="13"/>
    </x:row>
    <x:row r="21" ht="26" customHeight="1">
      <x:c r="A21" s="13" t="str">
        <x:v>NCI, cash, debt, nonoperating assets and claims use book/proxy assumptions when provided.</x:v>
      </x:c>
      <x:c r="B21" s="13"/>
      <x:c r="C21" s="13"/>
      <x:c r="D21" s="13"/>
      <x:c r="E21" s="13"/>
      <x:c r="F21" s="13"/>
    </x:row>
    <x:row r="22" ht="26" customHeight="1">
      <x:c r="A22" s="13" t="str">
        <x:v>D&amp;A and operating NCWC remain partially reconciled.</x:v>
      </x:c>
      <x:c r="B22" s="13"/>
      <x:c r="C22" s="13"/>
      <x:c r="D22" s="13"/>
      <x:c r="E22" s="13"/>
      <x:c r="F22" s="13"/>
    </x:row>
    <x:row r="23" ht="26" customHeight="1">
      <x:c r="A23" s="13" t="str">
        <x:v>EV/EBITDA is a screening proxy, not a certified per-share equity target.</x:v>
      </x:c>
      <x:c r="B23" s="13"/>
      <x:c r="C23" s="13"/>
      <x:c r="D23" s="13"/>
      <x:c r="E23" s="13"/>
      <x:c r="F23" s="13"/>
    </x:row>
    <x:row r="24" ht="26" customHeight="1">
      <x:c r="A24" s="13" t="str">
        <x:v>No blended price, investment rating, or automatic final target is produced.</x:v>
      </x:c>
      <x:c r="B24" s="13"/>
      <x:c r="C24" s="13"/>
      <x:c r="D24" s="13"/>
      <x:c r="E24" s="13"/>
      <x:c r="F24" s="13"/>
    </x:row>
  </x:sheetData>
  <x:mergeCells>
    <x:mergeCell ref="A1:F1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43" hidden="0" customWidth="1"/>
    <x:col min="4" max="4" width="18" hidden="0" customWidth="1"/>
    <x:col min="5" max="5" width="62" hidden="0" customWidth="1"/>
    <x:col min="6" max="6" width="90" hidden="0" customWidth="1"/>
  </x:cols>
  <x:sheetData>
    <x:row r="1" ht="34" customHeight="1">
      <x:c r="A1" s="4" t="str">
        <x:v>SOURCE REGISTER | AUDIT TRAIL</x:v>
      </x:c>
      <x:c r="B1" s="4"/>
      <x:c r="C1" s="4"/>
      <x:c r="D1" s="4"/>
      <x:c r="E1" s="4"/>
      <x:c r="F1" s="4"/>
    </x:row>
    <x:row r="4" ht="23" customHeight="1">
      <x:c r="A4" s="9" t="str">
        <x:v>Issuer</x:v>
      </x:c>
      <x:c r="B4" s="9" t="str">
        <x:v>Period</x:v>
      </x:c>
      <x:c r="C4" s="9" t="str">
        <x:v>Source / document</x:v>
      </x:c>
      <x:c r="D4" s="9" t="str">
        <x:v>Publication date</x:v>
      </x:c>
      <x:c r="E4" s="9" t="str">
        <x:v>Evidence / limitation</x:v>
      </x:c>
      <x:c r="F4" s="9" t="str">
        <x:v>Official URL</x:v>
      </x:c>
    </x:row>
    <x:row r="5">
      <x:c r="A5" s="13" t="str">
        <x:v>KLBF</x:v>
      </x:c>
      <x:c r="B5" s="13" t="str">
        <x:v>FY2025</x:v>
      </x:c>
      <x:c r="C5" s="13" t="str">
        <x:v>kalbe farma tbk_billingual_31_dec_2025_released (1).pdf</x:v>
      </x:c>
      <x:c r="D5" s="13" t="str">
        <x:v>2026-03-30</x:v>
      </x:c>
      <x:c r="E5" s="13" t="str">
        <x:v>Dated issuer FY2025 results release; earliest complete report posting not independently established</x:v>
      </x:c>
      <x:c r="F5" s="13" t="str">
        <x:v>https://www.kalbe.co.id/en/news/detail/maintaining-growth-in-fy2025-sales-growth-of-83-and-net-profit-growth-of-131--</x:v>
      </x:c>
    </x:row>
    <x:row r="6">
      <x:c r="A6" s="13" t="str">
        <x:v>KLBF</x:v>
      </x:c>
      <x:c r="B6" s="13" t="str">
        <x:v>H1 2026</x:v>
      </x:c>
      <x:c r="C6" s="13" t="str">
        <x:v>Kalbe Farma Tbk_billingual_30 Juni 2026.pdf</x:v>
      </x:c>
      <x:c r="D6" s="13" t="str">
        <x:v>2026-07-31</x:v>
      </x:c>
      <x:c r="E6" s="13" t="str">
        <x:v>Issuer announcement and IDX filing path timestamp corroborate July31</x:v>
      </x:c>
      <x:c r="F6" s="13" t="str">
        <x:v>https://www.idx.co.id/StaticData/NewsAndAnnouncement/ANNOUNCEMENTSTOCK/From_EREP/202607/20260731135305-63285-0/Kalbe%20Farma%20Tbk_billingual_30%20Juni%202026.pdf</x:v>
      </x:c>
    </x:row>
    <x:row r="7">
      <x:c r="A7" s="13" t="str">
        <x:v>SIDO</x:v>
      </x:c>
      <x:c r="B7" s="13" t="str">
        <x:v>FY2025</x:v>
      </x:c>
      <x:c r="C7" s="13" t="str">
        <x:v>FY-2025.pdf</x:v>
      </x:c>
      <x:c r="D7" s="13" t="str">
        <x:v>2026-02-27</x:v>
      </x:c>
      <x:c r="E7" s="13" t="str">
        <x:v>Exact issuer financial report listing; signing date is February26, not publication</x:v>
      </x:c>
      <x:c r="F7" s="13" t="str">
        <x:v>https://investor.sidomuncul.co.id/en/financials.html</x:v>
      </x:c>
    </x:row>
    <x:row r="8">
      <x:c r="A8" s="13" t="str">
        <x:v>TSPC</x:v>
      </x:c>
      <x:c r="B8" s="13" t="str">
        <x:v>FY2025</x:v>
      </x:c>
      <x:c r="C8" s="13" t="str">
        <x:v>TSPC_AR_dan_SR_2025.pdf</x:v>
      </x:c>
      <x:c r="D8" s="13" t="str">
        <x:v>2026-03-30</x:v>
      </x:c>
      <x:c r="E8" s="13" t="str">
        <x:v>Dated FY2025 results release; annual-report first posting date unresolved; statements signed March27</x:v>
      </x:c>
      <x:c r="F8" s="13" t="str">
        <x:v>https://www.temposcangroup.com/public/files/investor/TSPC_FY_2025.pdf</x:v>
      </x:c>
    </x:row>
    <x:row r="9">
      <x:c r="A9" s="13" t="str">
        <x:v>DVLA</x:v>
      </x:c>
      <x:c r="B9" s="13" t="str">
        <x:v>FY2025</x:v>
      </x:c>
      <x:c r="C9" s="13" t="str">
        <x:v>20260325154228_laporan-keuangan-desember-2025_en.pdf</x:v>
      </x:c>
      <x:c r="D9" s="13" t="str">
        <x:v>Unverified</x:v>
      </x:c>
      <x:c r="E9" s="13" t="str">
        <x:v>Official PDF identified; HTTP503, IDX AR copy403. Filename suggests March25 but not accepted as verified publication</x:v>
      </x:c>
      <x:c r="F9" s="13" t="str">
        <x:v>https://www.darya-varia.com/uploads/pdf/20260325154228_laporan-keuangan-desember-2025_en.pdf</x:v>
      </x:c>
    </x:row>
    <x:row r="10">
      <x:c r="A10" s="13" t="str">
        <x:v>MERK</x:v>
      </x:c>
      <x:c r="B10" s="13" t="str">
        <x:v>FY2025</x:v>
      </x:c>
      <x:c r="C10" s="13" t="str">
        <x:v>MERK_FY2025.pdf</x:v>
      </x:c>
      <x:c r="D10" s="13" t="str">
        <x:v>Unverified</x:v>
      </x:c>
      <x:c r="E10" s="13" t="str">
        <x:v>Official PDF downloaded; completion date March30; filename suggests March31 filing. Exact public release not verified</x:v>
      </x:c>
      <x:c r="F10" s="13" t="str">
        <x:v>https://www.merckgroup.com/content/dam/web/corporate/non-images/country-specifics/indonesia/financial-statement/2026/Laporan%20Keuangan_31.12.2025_MERK_31032026%20%284%29.pdf</x:v>
      </x:c>
    </x:row>
    <x:row r="11">
      <x:c r="A11" s="13" t="str">
        <x:v>SOHO</x:v>
      </x:c>
      <x:c r="B11" s="13" t="str">
        <x:v>FY2025</x:v>
      </x:c>
      <x:c r="C11" s="13" t="str">
        <x:v>SOHO_FY2025.pdf</x:v>
      </x:c>
      <x:c r="D11" s="13" t="str">
        <x:v>Unverified</x:v>
      </x:c>
      <x:c r="E11" s="13" t="str">
        <x:v>Issuer PDF downloaded; March24 approval/signing, IDX path suggests March25 posting; exact earliest release not independently verified</x:v>
      </x:c>
      <x:c r="F11" s="13" t="str">
        <x:v>https://www.sohoglobalhealth.com/uploads/investor/financial_information/annual_file/9/Financial_Statements.pdf</x:v>
      </x:c>
    </x:row>
    <x:row r="12">
      <x:c r="A12" s="13" t="str">
        <x:v>KLBF</x:v>
      </x:c>
      <x:c r="B12" s="13" t="str">
        <x:v>FY2022</x:v>
      </x:c>
      <x:c r="C12" s="13" t="str">
        <x:v>AR KLBF 2022_compressed.pdf</x:v>
      </x:c>
      <x:c r="D12" s="13" t="str">
        <x:v>Unverified</x:v>
      </x:c>
      <x:c r="E12" s="13" t="str">
        <x:v>Uploaded historical report; publication date not established, not used for a point-in-time decision</x:v>
      </x:c>
      <x:c r="F12" s="13" t="str">
        <x:v>https://www.kalbe.co.id/en/investor-relations/annual-report</x:v>
      </x:c>
    </x:row>
    <x:row r="13">
      <x:c r="A13" s="13" t="str">
        <x:v>KLBF</x:v>
      </x:c>
      <x:c r="B13" s="13" t="str">
        <x:v>FY2023</x:v>
      </x:c>
      <x:c r="C13" s="13" t="str">
        <x:v>AR KLBF 2023.pdf</x:v>
      </x:c>
      <x:c r="D13" s="13" t="str">
        <x:v>Unverified</x:v>
      </x:c>
      <x:c r="E13" s="13" t="str">
        <x:v>Uploaded historical report; publication date not established, not used for a point-in-time decision</x:v>
      </x:c>
      <x:c r="F13" s="13" t="str">
        <x:v>https://www.kalbe.co.id/en/investor-relations/annual-report</x:v>
      </x:c>
    </x:row>
    <x:row r="14">
      <x:c r="A14" s="13" t="str">
        <x:v>KLBF</x:v>
      </x:c>
      <x:c r="B14" s="13" t="str">
        <x:v>FY2024</x:v>
      </x:c>
      <x:c r="C14" s="13" t="str">
        <x:v>AR KLBF 2024.pdf</x:v>
      </x:c>
      <x:c r="D14" s="13" t="str">
        <x:v>Unverified</x:v>
      </x:c>
      <x:c r="E14" s="13" t="str">
        <x:v>Uploaded historical report; publication date not established, not used for a point-in-time decision</x:v>
      </x:c>
      <x:c r="F14" s="13" t="str">
        <x:v>https://www.kalbe.co.id/en/investor-relations/annual-report</x:v>
      </x:c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</x:sheetData>
  <x:mergeCells>
    <x:mergeCell ref="A1:F1"/>
  </x:mergeCells>
  <x:pageMargins left="0.7" right="0.7" top="0.75" bottom="0.75" header="0.3" footer="0.3"/>
</x:worksheet>
</file>